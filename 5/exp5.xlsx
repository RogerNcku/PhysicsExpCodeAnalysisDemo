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凱翔淵\彭靖翔\成功大學\成大電機\課程\大一下\普物實驗二\普物實驗程式輔助分析\5\"/>
    </mc:Choice>
  </mc:AlternateContent>
  <bookViews>
    <workbookView xWindow="0" yWindow="0" windowWidth="23040" windowHeight="8064"/>
  </bookViews>
  <sheets>
    <sheet name="A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0" i="5" l="1"/>
  <c r="E150" i="5" s="1"/>
  <c r="G150" i="5" s="1"/>
  <c r="C149" i="5"/>
  <c r="E149" i="5" s="1"/>
  <c r="G149" i="5" s="1"/>
  <c r="C148" i="5"/>
  <c r="E148" i="5" s="1"/>
  <c r="G148" i="5" s="1"/>
  <c r="C147" i="5"/>
  <c r="E147" i="5" s="1"/>
  <c r="G147" i="5" s="1"/>
  <c r="C146" i="5"/>
  <c r="E146" i="5" s="1"/>
  <c r="G146" i="5" s="1"/>
  <c r="C145" i="5"/>
  <c r="E145" i="5" s="1"/>
  <c r="G145" i="5" s="1"/>
  <c r="C144" i="5"/>
  <c r="E144" i="5" s="1"/>
  <c r="G144" i="5" s="1"/>
  <c r="C143" i="5"/>
  <c r="E143" i="5" s="1"/>
  <c r="G143" i="5" s="1"/>
  <c r="C142" i="5"/>
  <c r="E142" i="5" s="1"/>
  <c r="G142" i="5" s="1"/>
  <c r="C141" i="5"/>
  <c r="E141" i="5" s="1"/>
  <c r="G141" i="5" s="1"/>
  <c r="C140" i="5"/>
  <c r="E140" i="5" s="1"/>
  <c r="G140" i="5" s="1"/>
  <c r="C139" i="5"/>
  <c r="E139" i="5" s="1"/>
  <c r="G139" i="5" s="1"/>
  <c r="C138" i="5"/>
  <c r="E138" i="5" s="1"/>
  <c r="G138" i="5" s="1"/>
  <c r="C137" i="5"/>
  <c r="E137" i="5" s="1"/>
  <c r="G137" i="5" s="1"/>
  <c r="C136" i="5"/>
  <c r="E136" i="5" s="1"/>
  <c r="G136" i="5" s="1"/>
  <c r="C135" i="5"/>
  <c r="E135" i="5" s="1"/>
  <c r="G135" i="5" s="1"/>
  <c r="C134" i="5"/>
  <c r="E134" i="5" s="1"/>
  <c r="G134" i="5" s="1"/>
  <c r="C133" i="5"/>
  <c r="E133" i="5" s="1"/>
  <c r="G133" i="5" s="1"/>
  <c r="C132" i="5"/>
  <c r="E132" i="5" s="1"/>
  <c r="G132" i="5" s="1"/>
  <c r="C131" i="5"/>
  <c r="E131" i="5" s="1"/>
  <c r="G131" i="5" s="1"/>
  <c r="C130" i="5"/>
  <c r="E130" i="5" s="1"/>
  <c r="G130" i="5" s="1"/>
  <c r="C129" i="5"/>
  <c r="E129" i="5" s="1"/>
  <c r="G129" i="5" s="1"/>
  <c r="C128" i="5"/>
  <c r="E128" i="5" s="1"/>
  <c r="G128" i="5" s="1"/>
  <c r="C127" i="5"/>
  <c r="E127" i="5" s="1"/>
  <c r="G127" i="5" s="1"/>
  <c r="C126" i="5"/>
  <c r="E126" i="5" s="1"/>
  <c r="G126" i="5" s="1"/>
  <c r="C125" i="5"/>
  <c r="E125" i="5" s="1"/>
  <c r="G125" i="5" s="1"/>
  <c r="C124" i="5"/>
  <c r="E124" i="5" s="1"/>
  <c r="G124" i="5" s="1"/>
  <c r="C123" i="5"/>
  <c r="E123" i="5" s="1"/>
  <c r="G123" i="5" s="1"/>
  <c r="C122" i="5"/>
  <c r="E122" i="5" s="1"/>
  <c r="G122" i="5" s="1"/>
  <c r="C121" i="5"/>
  <c r="E121" i="5" s="1"/>
  <c r="G121" i="5" s="1"/>
  <c r="C120" i="5"/>
  <c r="E120" i="5" s="1"/>
  <c r="G120" i="5" s="1"/>
  <c r="C119" i="5"/>
  <c r="E119" i="5" s="1"/>
  <c r="G119" i="5" s="1"/>
  <c r="C118" i="5"/>
  <c r="E118" i="5" s="1"/>
  <c r="G118" i="5" s="1"/>
  <c r="C117" i="5"/>
  <c r="E117" i="5" s="1"/>
  <c r="G117" i="5" s="1"/>
  <c r="C116" i="5"/>
  <c r="E116" i="5" s="1"/>
  <c r="G116" i="5" s="1"/>
  <c r="C115" i="5"/>
  <c r="E115" i="5" s="1"/>
  <c r="G115" i="5" s="1"/>
  <c r="C114" i="5"/>
  <c r="E114" i="5" s="1"/>
  <c r="G114" i="5" s="1"/>
  <c r="C113" i="5"/>
  <c r="E113" i="5" s="1"/>
  <c r="G113" i="5" s="1"/>
  <c r="C112" i="5"/>
  <c r="E112" i="5" s="1"/>
  <c r="G112" i="5" s="1"/>
  <c r="C111" i="5"/>
  <c r="E111" i="5" s="1"/>
  <c r="G111" i="5" s="1"/>
  <c r="C110" i="5"/>
  <c r="E110" i="5" s="1"/>
  <c r="G110" i="5" s="1"/>
  <c r="C109" i="5"/>
  <c r="E109" i="5" s="1"/>
  <c r="G109" i="5" s="1"/>
  <c r="C108" i="5"/>
  <c r="E108" i="5" s="1"/>
  <c r="G108" i="5" s="1"/>
  <c r="C107" i="5"/>
  <c r="E107" i="5" s="1"/>
  <c r="G107" i="5" s="1"/>
  <c r="C106" i="5"/>
  <c r="E106" i="5" s="1"/>
  <c r="G106" i="5" s="1"/>
  <c r="C105" i="5"/>
  <c r="E105" i="5" s="1"/>
  <c r="G105" i="5" s="1"/>
  <c r="C104" i="5"/>
  <c r="E104" i="5" s="1"/>
  <c r="G104" i="5" s="1"/>
  <c r="C103" i="5"/>
  <c r="E103" i="5" s="1"/>
  <c r="G103" i="5" s="1"/>
  <c r="C102" i="5"/>
  <c r="E102" i="5" s="1"/>
  <c r="G102" i="5" s="1"/>
  <c r="C101" i="5"/>
  <c r="E101" i="5" s="1"/>
  <c r="G101" i="5" s="1"/>
  <c r="C100" i="5"/>
  <c r="E100" i="5" s="1"/>
  <c r="G100" i="5" s="1"/>
  <c r="C99" i="5"/>
  <c r="E99" i="5" s="1"/>
  <c r="G99" i="5" s="1"/>
  <c r="C98" i="5"/>
  <c r="E98" i="5" s="1"/>
  <c r="G98" i="5" s="1"/>
  <c r="C97" i="5"/>
  <c r="E97" i="5" s="1"/>
  <c r="G97" i="5" s="1"/>
  <c r="C96" i="5"/>
  <c r="E96" i="5" s="1"/>
  <c r="G96" i="5" s="1"/>
  <c r="C95" i="5"/>
  <c r="E95" i="5" s="1"/>
  <c r="G95" i="5" s="1"/>
  <c r="C94" i="5"/>
  <c r="E94" i="5" s="1"/>
  <c r="G94" i="5" s="1"/>
  <c r="C93" i="5"/>
  <c r="E93" i="5" s="1"/>
  <c r="G93" i="5" s="1"/>
  <c r="C92" i="5"/>
  <c r="E92" i="5" s="1"/>
  <c r="G92" i="5" s="1"/>
  <c r="C91" i="5"/>
  <c r="E91" i="5" s="1"/>
  <c r="G91" i="5" s="1"/>
  <c r="C90" i="5"/>
  <c r="E90" i="5" s="1"/>
  <c r="G90" i="5" s="1"/>
  <c r="C89" i="5"/>
  <c r="E89" i="5" s="1"/>
  <c r="G89" i="5" s="1"/>
  <c r="C88" i="5"/>
  <c r="E88" i="5" s="1"/>
  <c r="G88" i="5" s="1"/>
  <c r="C87" i="5"/>
  <c r="E87" i="5" s="1"/>
  <c r="G87" i="5" s="1"/>
  <c r="C86" i="5"/>
  <c r="E86" i="5" s="1"/>
  <c r="G86" i="5" s="1"/>
  <c r="C85" i="5"/>
  <c r="E85" i="5" s="1"/>
  <c r="G85" i="5" s="1"/>
  <c r="C84" i="5"/>
  <c r="E84" i="5" s="1"/>
  <c r="G84" i="5" s="1"/>
  <c r="C83" i="5"/>
  <c r="E83" i="5" s="1"/>
  <c r="G83" i="5" s="1"/>
  <c r="C82" i="5"/>
  <c r="E82" i="5" s="1"/>
  <c r="G82" i="5" s="1"/>
  <c r="C81" i="5"/>
  <c r="E81" i="5" s="1"/>
  <c r="G81" i="5" s="1"/>
  <c r="C80" i="5"/>
  <c r="E80" i="5" s="1"/>
  <c r="G80" i="5" s="1"/>
  <c r="C79" i="5"/>
  <c r="E79" i="5" s="1"/>
  <c r="G79" i="5" s="1"/>
  <c r="C78" i="5"/>
  <c r="E78" i="5" s="1"/>
  <c r="G78" i="5" s="1"/>
  <c r="C77" i="5"/>
  <c r="E77" i="5" s="1"/>
  <c r="G77" i="5" s="1"/>
  <c r="C76" i="5"/>
  <c r="E76" i="5" s="1"/>
  <c r="G76" i="5" s="1"/>
  <c r="C75" i="5"/>
  <c r="E75" i="5" s="1"/>
  <c r="G75" i="5" s="1"/>
  <c r="C74" i="5"/>
  <c r="E74" i="5" s="1"/>
  <c r="G74" i="5" s="1"/>
  <c r="C73" i="5"/>
  <c r="E73" i="5" s="1"/>
  <c r="G73" i="5" s="1"/>
  <c r="C72" i="5"/>
  <c r="E72" i="5" s="1"/>
  <c r="G72" i="5" s="1"/>
  <c r="C71" i="5"/>
  <c r="E71" i="5" s="1"/>
  <c r="G71" i="5" s="1"/>
  <c r="C70" i="5"/>
  <c r="E70" i="5" s="1"/>
  <c r="G70" i="5" s="1"/>
  <c r="C69" i="5"/>
  <c r="E69" i="5" s="1"/>
  <c r="G69" i="5" s="1"/>
  <c r="C68" i="5"/>
  <c r="E68" i="5" s="1"/>
  <c r="G68" i="5" s="1"/>
  <c r="C67" i="5"/>
  <c r="E67" i="5" s="1"/>
  <c r="G67" i="5" s="1"/>
  <c r="C66" i="5"/>
  <c r="E66" i="5" s="1"/>
  <c r="G66" i="5" s="1"/>
  <c r="C65" i="5"/>
  <c r="E65" i="5" s="1"/>
  <c r="G65" i="5" s="1"/>
  <c r="C64" i="5"/>
  <c r="E64" i="5" s="1"/>
  <c r="G64" i="5" s="1"/>
  <c r="C63" i="5"/>
  <c r="E63" i="5" s="1"/>
  <c r="G63" i="5" s="1"/>
  <c r="C62" i="5"/>
  <c r="E62" i="5" s="1"/>
  <c r="G62" i="5" s="1"/>
  <c r="C61" i="5"/>
  <c r="E61" i="5" s="1"/>
  <c r="G61" i="5" s="1"/>
  <c r="C60" i="5"/>
  <c r="E60" i="5" s="1"/>
  <c r="G60" i="5" s="1"/>
  <c r="C59" i="5"/>
  <c r="E59" i="5" s="1"/>
  <c r="G59" i="5" s="1"/>
  <c r="C58" i="5"/>
  <c r="E58" i="5" s="1"/>
  <c r="G58" i="5" s="1"/>
  <c r="C57" i="5"/>
  <c r="E57" i="5" s="1"/>
  <c r="G57" i="5" s="1"/>
  <c r="C56" i="5"/>
  <c r="E56" i="5" s="1"/>
  <c r="G56" i="5" s="1"/>
  <c r="C55" i="5"/>
  <c r="E55" i="5" s="1"/>
  <c r="G55" i="5" s="1"/>
  <c r="C54" i="5"/>
  <c r="E54" i="5" s="1"/>
  <c r="G54" i="5" s="1"/>
  <c r="C53" i="5"/>
  <c r="E53" i="5" s="1"/>
  <c r="G53" i="5" s="1"/>
  <c r="C52" i="5"/>
  <c r="E52" i="5" s="1"/>
  <c r="G52" i="5" s="1"/>
  <c r="C51" i="5"/>
  <c r="E51" i="5" s="1"/>
  <c r="G51" i="5" s="1"/>
  <c r="C50" i="5"/>
  <c r="E50" i="5" s="1"/>
  <c r="G50" i="5" s="1"/>
  <c r="C49" i="5"/>
  <c r="E49" i="5" s="1"/>
  <c r="G49" i="5" s="1"/>
  <c r="C48" i="5"/>
  <c r="E48" i="5" s="1"/>
  <c r="G48" i="5" s="1"/>
  <c r="C47" i="5"/>
  <c r="E47" i="5" s="1"/>
  <c r="G47" i="5" s="1"/>
  <c r="C46" i="5"/>
  <c r="E46" i="5" s="1"/>
  <c r="G46" i="5" s="1"/>
  <c r="C45" i="5"/>
  <c r="E45" i="5" s="1"/>
  <c r="G45" i="5" s="1"/>
  <c r="C44" i="5"/>
  <c r="E44" i="5" s="1"/>
  <c r="G44" i="5" s="1"/>
  <c r="C43" i="5"/>
  <c r="E43" i="5" s="1"/>
  <c r="G43" i="5" s="1"/>
  <c r="C42" i="5"/>
  <c r="E42" i="5" s="1"/>
  <c r="G42" i="5" s="1"/>
  <c r="C41" i="5"/>
  <c r="E41" i="5" s="1"/>
  <c r="G41" i="5" s="1"/>
  <c r="C40" i="5"/>
  <c r="E40" i="5" s="1"/>
  <c r="G40" i="5" s="1"/>
  <c r="C39" i="5"/>
  <c r="E39" i="5" s="1"/>
  <c r="G39" i="5" s="1"/>
  <c r="C38" i="5"/>
  <c r="E38" i="5" s="1"/>
  <c r="G38" i="5" s="1"/>
  <c r="C37" i="5"/>
  <c r="E37" i="5" s="1"/>
  <c r="G37" i="5" s="1"/>
  <c r="C36" i="5"/>
  <c r="E36" i="5" s="1"/>
  <c r="G36" i="5" s="1"/>
  <c r="C35" i="5"/>
  <c r="E35" i="5" s="1"/>
  <c r="G35" i="5" s="1"/>
  <c r="C34" i="5"/>
  <c r="E34" i="5" s="1"/>
  <c r="G34" i="5" s="1"/>
  <c r="C33" i="5"/>
  <c r="E33" i="5" s="1"/>
  <c r="G33" i="5" s="1"/>
  <c r="C32" i="5"/>
  <c r="E32" i="5" s="1"/>
  <c r="G32" i="5" s="1"/>
  <c r="C31" i="5"/>
  <c r="E31" i="5" s="1"/>
  <c r="G31" i="5" s="1"/>
  <c r="C30" i="5"/>
  <c r="E30" i="5" s="1"/>
  <c r="G30" i="5" s="1"/>
  <c r="C29" i="5"/>
  <c r="E29" i="5" s="1"/>
  <c r="G29" i="5" s="1"/>
  <c r="C28" i="5"/>
  <c r="E28" i="5" s="1"/>
  <c r="G28" i="5" s="1"/>
  <c r="C27" i="5"/>
  <c r="E27" i="5" s="1"/>
  <c r="G27" i="5" s="1"/>
  <c r="C26" i="5"/>
  <c r="E26" i="5" s="1"/>
  <c r="G26" i="5" s="1"/>
  <c r="C25" i="5"/>
  <c r="E25" i="5" s="1"/>
  <c r="G25" i="5" s="1"/>
  <c r="C24" i="5"/>
  <c r="E24" i="5" s="1"/>
  <c r="G24" i="5" s="1"/>
  <c r="C23" i="5"/>
  <c r="E23" i="5" s="1"/>
  <c r="G23" i="5" s="1"/>
  <c r="C22" i="5"/>
  <c r="E22" i="5" s="1"/>
  <c r="G22" i="5" s="1"/>
  <c r="C21" i="5"/>
  <c r="E21" i="5" s="1"/>
  <c r="G21" i="5" s="1"/>
  <c r="C20" i="5"/>
  <c r="E20" i="5" s="1"/>
  <c r="G20" i="5" s="1"/>
  <c r="C19" i="5"/>
  <c r="E19" i="5" s="1"/>
  <c r="G19" i="5" s="1"/>
  <c r="C18" i="5"/>
  <c r="E18" i="5" s="1"/>
  <c r="G18" i="5" s="1"/>
  <c r="C17" i="5"/>
  <c r="E17" i="5" s="1"/>
  <c r="G17" i="5" s="1"/>
  <c r="C16" i="5"/>
  <c r="E16" i="5" s="1"/>
  <c r="G16" i="5" s="1"/>
  <c r="C15" i="5"/>
  <c r="E15" i="5" s="1"/>
  <c r="G15" i="5" s="1"/>
  <c r="C14" i="5"/>
  <c r="E14" i="5" s="1"/>
  <c r="G14" i="5" s="1"/>
  <c r="C13" i="5"/>
  <c r="E13" i="5" s="1"/>
  <c r="G13" i="5" s="1"/>
  <c r="C12" i="5"/>
  <c r="E12" i="5" s="1"/>
  <c r="G12" i="5" s="1"/>
  <c r="C11" i="5"/>
  <c r="E11" i="5" s="1"/>
  <c r="G11" i="5" s="1"/>
  <c r="C10" i="5"/>
  <c r="E10" i="5" s="1"/>
  <c r="G10" i="5" s="1"/>
  <c r="C9" i="5"/>
  <c r="E9" i="5" s="1"/>
  <c r="G9" i="5" s="1"/>
  <c r="C8" i="5"/>
  <c r="E8" i="5" s="1"/>
  <c r="G8" i="5" s="1"/>
  <c r="C7" i="5"/>
  <c r="E7" i="5" s="1"/>
  <c r="G7" i="5" s="1"/>
  <c r="C6" i="5"/>
  <c r="E6" i="5" s="1"/>
  <c r="G6" i="5" s="1"/>
  <c r="C5" i="5"/>
  <c r="E5" i="5" s="1"/>
  <c r="G5" i="5" s="1"/>
  <c r="C4" i="5"/>
  <c r="E4" i="5" s="1"/>
  <c r="G4" i="5" s="1"/>
  <c r="C3" i="5"/>
  <c r="E3" i="5" s="1"/>
  <c r="G3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C2" i="5"/>
  <c r="E2" i="5" s="1"/>
  <c r="G2" i="5" s="1"/>
</calcChain>
</file>

<file path=xl/sharedStrings.xml><?xml version="1.0" encoding="utf-8"?>
<sst xmlns="http://schemas.openxmlformats.org/spreadsheetml/2006/main" count="7" uniqueCount="7">
  <si>
    <t>X(格數)</t>
    <phoneticPr fontId="1" type="noConversion"/>
  </si>
  <si>
    <t>S(m)</t>
    <phoneticPr fontId="1" type="noConversion"/>
  </si>
  <si>
    <t>T(s)</t>
    <phoneticPr fontId="1" type="noConversion"/>
  </si>
  <si>
    <t xml:space="preserve">Q(coulomb) </t>
    <phoneticPr fontId="1" type="noConversion"/>
  </si>
  <si>
    <r>
      <t>V</t>
    </r>
    <r>
      <rPr>
        <vertAlign val="subscript"/>
        <sz val="12"/>
        <color theme="1"/>
        <rFont val="標楷體"/>
        <family val="4"/>
        <charset val="136"/>
      </rPr>
      <t>1</t>
    </r>
    <r>
      <rPr>
        <sz val="12"/>
        <color theme="1"/>
        <rFont val="標楷體"/>
        <family val="4"/>
        <charset val="136"/>
      </rPr>
      <t xml:space="preserve">(m/s) </t>
    </r>
    <phoneticPr fontId="1" type="noConversion"/>
  </si>
  <si>
    <r>
      <t>U</t>
    </r>
    <r>
      <rPr>
        <vertAlign val="subscript"/>
        <sz val="12"/>
        <color theme="1"/>
        <rFont val="標楷體"/>
        <family val="4"/>
        <charset val="136"/>
      </rPr>
      <t>0</t>
    </r>
    <r>
      <rPr>
        <sz val="12"/>
        <color theme="1"/>
        <rFont val="標楷體"/>
        <family val="4"/>
        <charset val="136"/>
      </rPr>
      <t>(V)</t>
    </r>
    <phoneticPr fontId="1" type="noConversion"/>
  </si>
  <si>
    <t>次數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</si>
</sst>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E+00"/>
    <numFmt numFmtId="177" formatCode="0.0"/>
  </numFmts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vertAlign val="subscript"/>
      <sz val="12"/>
      <color theme="1"/>
      <name val="標楷體"/>
      <family val="4"/>
      <charset val="136"/>
    </font>
    <font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38">
    <xf numFmtId="0" fontId="0" fillId="0" borderId="0" xfId="0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76" fontId="2" fillId="0" borderId="15" xfId="0" applyNumberFormat="1" applyFont="1" applyBorder="1" applyAlignment="1">
      <alignment horizontal="center" vertical="center"/>
    </xf>
    <xf numFmtId="2" fontId="2" fillId="2" borderId="7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2" fillId="2" borderId="4" xfId="0" applyNumberFormat="1" applyFont="1" applyFill="1" applyBorder="1" applyAlignment="1">
      <alignment horizontal="center" vertical="center"/>
    </xf>
    <xf numFmtId="177" fontId="2" fillId="2" borderId="4" xfId="0" applyNumberFormat="1" applyFont="1" applyFill="1" applyBorder="1" applyAlignment="1">
      <alignment horizontal="center" vertical="center"/>
    </xf>
    <xf numFmtId="177" fontId="2" fillId="2" borderId="7" xfId="0" applyNumberFormat="1" applyFont="1" applyFill="1" applyBorder="1" applyAlignment="1">
      <alignment horizontal="center" vertical="center"/>
    </xf>
    <xf numFmtId="177" fontId="2" fillId="2" borderId="2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2"/>
  <sheetViews>
    <sheetView tabSelected="1" topLeftCell="E132" zoomScale="70" zoomScaleNormal="70" workbookViewId="0">
      <selection activeCell="E43" sqref="A43:XFD43"/>
    </sheetView>
  </sheetViews>
  <sheetFormatPr defaultColWidth="9.77734375" defaultRowHeight="19.8" customHeight="1" x14ac:dyDescent="0.3"/>
  <cols>
    <col min="1" max="1" width="9.77734375" style="11"/>
    <col min="2" max="2" width="8.5546875" style="11" customWidth="1"/>
    <col min="3" max="4" width="9.77734375" style="11"/>
    <col min="5" max="5" width="9.77734375" style="11" customWidth="1"/>
    <col min="6" max="6" width="10.44140625" style="11" bestFit="1" customWidth="1"/>
    <col min="7" max="7" width="12.5546875" style="11" customWidth="1"/>
    <col min="8" max="16384" width="9.77734375" style="11"/>
  </cols>
  <sheetData>
    <row r="1" spans="1:7" ht="19.8" customHeight="1" thickTop="1" x14ac:dyDescent="0.3">
      <c r="A1" s="12" t="s">
        <v>6</v>
      </c>
      <c r="B1" s="31" t="s">
        <v>0</v>
      </c>
      <c r="C1" s="31" t="s">
        <v>1</v>
      </c>
      <c r="D1" s="31" t="s">
        <v>2</v>
      </c>
      <c r="E1" s="31" t="s">
        <v>4</v>
      </c>
      <c r="F1" s="31" t="s">
        <v>5</v>
      </c>
      <c r="G1" s="31" t="s">
        <v>3</v>
      </c>
    </row>
    <row r="2" spans="1:7" ht="19.8" customHeight="1" x14ac:dyDescent="0.3">
      <c r="A2" s="20">
        <v>1</v>
      </c>
      <c r="B2" s="32">
        <v>5</v>
      </c>
      <c r="C2" s="1">
        <f>B2*0.000382</f>
        <v>1.91E-3</v>
      </c>
      <c r="D2" s="21">
        <v>55.27</v>
      </c>
      <c r="E2" s="29">
        <f xml:space="preserve"> C2/D2</f>
        <v>3.4557626198661116E-5</v>
      </c>
      <c r="F2" s="22">
        <v>120.9</v>
      </c>
      <c r="G2" s="29">
        <f xml:space="preserve"> 1.945*10^-10*E2^1.5/F2</f>
        <v>3.2682040120688708E-19</v>
      </c>
    </row>
    <row r="3" spans="1:7" ht="19.8" customHeight="1" x14ac:dyDescent="0.3">
      <c r="A3" s="20">
        <f xml:space="preserve"> A2+1</f>
        <v>2</v>
      </c>
      <c r="B3" s="32">
        <v>1</v>
      </c>
      <c r="C3" s="1">
        <f>B3*0.000382</f>
        <v>3.8200000000000002E-4</v>
      </c>
      <c r="D3" s="21">
        <v>7.51</v>
      </c>
      <c r="E3" s="29">
        <f t="shared" ref="E3:E65" si="0" xml:space="preserve"> C3/D3</f>
        <v>5.0865512649800271E-5</v>
      </c>
      <c r="F3" s="22">
        <v>226.1</v>
      </c>
      <c r="G3" s="29">
        <f t="shared" ref="G3:G65" si="1" xml:space="preserve"> 1.945*10^-10*E3^1.5/F3</f>
        <v>3.1207155298940031E-19</v>
      </c>
    </row>
    <row r="4" spans="1:7" ht="19.8" customHeight="1" x14ac:dyDescent="0.3">
      <c r="A4" s="20">
        <f t="shared" ref="A4:A49" si="2" xml:space="preserve"> A3+1</f>
        <v>3</v>
      </c>
      <c r="B4" s="32">
        <v>1</v>
      </c>
      <c r="C4" s="1">
        <f t="shared" ref="C4:C66" si="3">B4*0.000382</f>
        <v>3.8200000000000002E-4</v>
      </c>
      <c r="D4" s="21">
        <v>9.25</v>
      </c>
      <c r="E4" s="29">
        <f t="shared" si="0"/>
        <v>4.1297297297297296E-5</v>
      </c>
      <c r="F4" s="22">
        <v>350.9</v>
      </c>
      <c r="G4" s="29">
        <f t="shared" si="1"/>
        <v>1.4710203565527296E-19</v>
      </c>
    </row>
    <row r="5" spans="1:7" ht="19.8" customHeight="1" x14ac:dyDescent="0.3">
      <c r="A5" s="20">
        <f t="shared" si="2"/>
        <v>4</v>
      </c>
      <c r="B5" s="32">
        <v>2</v>
      </c>
      <c r="C5" s="1">
        <f t="shared" si="3"/>
        <v>7.6400000000000003E-4</v>
      </c>
      <c r="D5" s="21">
        <v>11.05</v>
      </c>
      <c r="E5" s="29">
        <f t="shared" si="0"/>
        <v>6.9140271493212669E-5</v>
      </c>
      <c r="F5" s="22">
        <v>351</v>
      </c>
      <c r="G5" s="29">
        <f t="shared" si="1"/>
        <v>3.1857310617232636E-19</v>
      </c>
    </row>
    <row r="6" spans="1:7" ht="19.8" customHeight="1" x14ac:dyDescent="0.3">
      <c r="A6" s="20">
        <f t="shared" si="2"/>
        <v>5</v>
      </c>
      <c r="B6" s="32">
        <v>1</v>
      </c>
      <c r="C6" s="1">
        <f t="shared" si="3"/>
        <v>3.8200000000000002E-4</v>
      </c>
      <c r="D6" s="21">
        <v>9.89</v>
      </c>
      <c r="E6" s="29">
        <f t="shared" si="0"/>
        <v>3.8624873609706773E-5</v>
      </c>
      <c r="F6" s="22">
        <v>300.2</v>
      </c>
      <c r="G6" s="29">
        <f t="shared" si="1"/>
        <v>1.5552833572290594E-19</v>
      </c>
    </row>
    <row r="7" spans="1:7" ht="19.8" customHeight="1" x14ac:dyDescent="0.3">
      <c r="A7" s="20">
        <f t="shared" si="2"/>
        <v>6</v>
      </c>
      <c r="B7" s="32">
        <v>3</v>
      </c>
      <c r="C7" s="1">
        <f t="shared" si="3"/>
        <v>1.1460000000000001E-3</v>
      </c>
      <c r="D7" s="21">
        <v>26.16</v>
      </c>
      <c r="E7" s="29">
        <f t="shared" si="0"/>
        <v>4.3807339449541286E-5</v>
      </c>
      <c r="F7" s="22">
        <v>351</v>
      </c>
      <c r="G7" s="29">
        <f t="shared" si="1"/>
        <v>1.60669264706019E-19</v>
      </c>
    </row>
    <row r="8" spans="1:7" ht="19.8" customHeight="1" x14ac:dyDescent="0.3">
      <c r="A8" s="20">
        <f t="shared" si="2"/>
        <v>7</v>
      </c>
      <c r="B8" s="32">
        <v>3</v>
      </c>
      <c r="C8" s="1">
        <f t="shared" si="3"/>
        <v>1.1460000000000001E-3</v>
      </c>
      <c r="D8" s="21">
        <v>43.32</v>
      </c>
      <c r="E8" s="29">
        <f t="shared" si="0"/>
        <v>2.6454293628808867E-5</v>
      </c>
      <c r="F8" s="22">
        <v>77.8</v>
      </c>
      <c r="G8" s="29">
        <f t="shared" si="1"/>
        <v>3.4016079918420876E-19</v>
      </c>
    </row>
    <row r="9" spans="1:7" ht="19.8" customHeight="1" x14ac:dyDescent="0.3">
      <c r="A9" s="20">
        <f t="shared" si="2"/>
        <v>8</v>
      </c>
      <c r="B9" s="32">
        <v>2</v>
      </c>
      <c r="C9" s="1">
        <f t="shared" si="3"/>
        <v>7.6400000000000003E-4</v>
      </c>
      <c r="D9" s="21">
        <v>28.5</v>
      </c>
      <c r="E9" s="29">
        <f t="shared" si="0"/>
        <v>2.6807017543859651E-5</v>
      </c>
      <c r="F9" s="22">
        <v>77.8</v>
      </c>
      <c r="G9" s="29">
        <f t="shared" si="1"/>
        <v>3.4698664241061739E-19</v>
      </c>
    </row>
    <row r="10" spans="1:7" ht="19.8" customHeight="1" x14ac:dyDescent="0.3">
      <c r="A10" s="20">
        <f t="shared" si="2"/>
        <v>9</v>
      </c>
      <c r="B10" s="32">
        <v>3</v>
      </c>
      <c r="C10" s="1">
        <f t="shared" si="3"/>
        <v>1.1460000000000001E-3</v>
      </c>
      <c r="D10" s="21">
        <v>55.49</v>
      </c>
      <c r="E10" s="29">
        <f t="shared" si="0"/>
        <v>2.0652369796359707E-5</v>
      </c>
      <c r="F10" s="22">
        <v>99.7</v>
      </c>
      <c r="G10" s="29">
        <f t="shared" si="1"/>
        <v>1.8309618127245051E-19</v>
      </c>
    </row>
    <row r="11" spans="1:7" ht="19.8" customHeight="1" x14ac:dyDescent="0.3">
      <c r="A11" s="20">
        <f t="shared" si="2"/>
        <v>10</v>
      </c>
      <c r="B11" s="32">
        <v>2</v>
      </c>
      <c r="C11" s="1">
        <f t="shared" si="3"/>
        <v>7.6400000000000003E-4</v>
      </c>
      <c r="D11" s="21">
        <v>36.840000000000003</v>
      </c>
      <c r="E11" s="29">
        <f t="shared" si="0"/>
        <v>2.0738327904451683E-5</v>
      </c>
      <c r="F11" s="22">
        <v>57.6</v>
      </c>
      <c r="G11" s="29">
        <f t="shared" si="1"/>
        <v>3.1890235604501731E-19</v>
      </c>
    </row>
    <row r="12" spans="1:7" ht="19.8" customHeight="1" x14ac:dyDescent="0.3">
      <c r="A12" s="20">
        <f t="shared" si="2"/>
        <v>11</v>
      </c>
      <c r="B12" s="32">
        <v>1</v>
      </c>
      <c r="C12" s="1">
        <f t="shared" si="3"/>
        <v>3.8200000000000002E-4</v>
      </c>
      <c r="D12" s="21">
        <v>11.42</v>
      </c>
      <c r="E12" s="29">
        <f t="shared" si="0"/>
        <v>3.3450087565674255E-5</v>
      </c>
      <c r="F12" s="22">
        <v>235.6</v>
      </c>
      <c r="G12" s="29">
        <f t="shared" si="1"/>
        <v>1.5971297816903147E-19</v>
      </c>
    </row>
    <row r="13" spans="1:7" ht="19.8" customHeight="1" x14ac:dyDescent="0.3">
      <c r="A13" s="20">
        <f t="shared" si="2"/>
        <v>12</v>
      </c>
      <c r="B13" s="32">
        <v>3</v>
      </c>
      <c r="C13" s="1">
        <f t="shared" si="3"/>
        <v>1.1460000000000001E-3</v>
      </c>
      <c r="D13" s="21">
        <v>41.22</v>
      </c>
      <c r="E13" s="29">
        <f t="shared" si="0"/>
        <v>2.7802037845705972E-5</v>
      </c>
      <c r="F13" s="22">
        <v>194.7</v>
      </c>
      <c r="G13" s="29">
        <f t="shared" si="1"/>
        <v>1.4644299401791421E-19</v>
      </c>
    </row>
    <row r="14" spans="1:7" ht="19.8" customHeight="1" x14ac:dyDescent="0.3">
      <c r="A14" s="20">
        <f t="shared" si="2"/>
        <v>13</v>
      </c>
      <c r="B14" s="32">
        <v>2</v>
      </c>
      <c r="C14" s="1">
        <f t="shared" si="3"/>
        <v>7.6400000000000003E-4</v>
      </c>
      <c r="D14" s="21">
        <v>28.91</v>
      </c>
      <c r="E14" s="29">
        <f t="shared" si="0"/>
        <v>2.6426841923209962E-5</v>
      </c>
      <c r="F14" s="22">
        <v>210.6</v>
      </c>
      <c r="G14" s="29">
        <f t="shared" si="1"/>
        <v>1.254668917569428E-19</v>
      </c>
    </row>
    <row r="15" spans="1:7" ht="19.8" customHeight="1" x14ac:dyDescent="0.3">
      <c r="A15" s="20">
        <f t="shared" si="2"/>
        <v>14</v>
      </c>
      <c r="B15" s="32">
        <v>2</v>
      </c>
      <c r="C15" s="1">
        <f t="shared" si="3"/>
        <v>7.6400000000000003E-4</v>
      </c>
      <c r="D15" s="21">
        <v>21.21</v>
      </c>
      <c r="E15" s="29">
        <f t="shared" si="0"/>
        <v>3.602074493163602E-5</v>
      </c>
      <c r="F15" s="22">
        <v>127.8</v>
      </c>
      <c r="G15" s="29">
        <f t="shared" si="1"/>
        <v>3.2901658242406406E-19</v>
      </c>
    </row>
    <row r="16" spans="1:7" ht="19.8" customHeight="1" x14ac:dyDescent="0.3">
      <c r="A16" s="20">
        <f t="shared" si="2"/>
        <v>15</v>
      </c>
      <c r="B16" s="32">
        <v>2</v>
      </c>
      <c r="C16" s="1">
        <f t="shared" si="3"/>
        <v>7.6400000000000003E-4</v>
      </c>
      <c r="D16" s="21">
        <v>20.13</v>
      </c>
      <c r="E16" s="29">
        <f t="shared" si="0"/>
        <v>3.795330352707402E-5</v>
      </c>
      <c r="F16" s="22">
        <v>285</v>
      </c>
      <c r="G16" s="29">
        <f t="shared" si="1"/>
        <v>1.5956921964712223E-19</v>
      </c>
    </row>
    <row r="17" spans="1:7" ht="19.8" customHeight="1" x14ac:dyDescent="0.3">
      <c r="A17" s="20">
        <f t="shared" si="2"/>
        <v>16</v>
      </c>
      <c r="B17" s="32">
        <v>1</v>
      </c>
      <c r="C17" s="1">
        <f t="shared" si="3"/>
        <v>3.8200000000000002E-4</v>
      </c>
      <c r="D17" s="21">
        <v>11.32</v>
      </c>
      <c r="E17" s="29">
        <f t="shared" si="0"/>
        <v>3.3745583038869255E-5</v>
      </c>
      <c r="F17" s="22">
        <v>250.1</v>
      </c>
      <c r="G17" s="29">
        <f t="shared" si="1"/>
        <v>1.5245136527025472E-19</v>
      </c>
    </row>
    <row r="18" spans="1:7" ht="19.8" customHeight="1" x14ac:dyDescent="0.3">
      <c r="A18" s="20">
        <f t="shared" si="2"/>
        <v>17</v>
      </c>
      <c r="B18" s="32">
        <v>2</v>
      </c>
      <c r="C18" s="1">
        <f t="shared" si="3"/>
        <v>7.6400000000000003E-4</v>
      </c>
      <c r="D18" s="21">
        <v>21.29</v>
      </c>
      <c r="E18" s="29">
        <f t="shared" si="0"/>
        <v>3.5885392202912169E-5</v>
      </c>
      <c r="F18" s="22">
        <v>241.6</v>
      </c>
      <c r="G18" s="29">
        <f t="shared" si="1"/>
        <v>1.7306100499884471E-19</v>
      </c>
    </row>
    <row r="19" spans="1:7" ht="19.8" customHeight="1" x14ac:dyDescent="0.3">
      <c r="A19" s="20">
        <f t="shared" si="2"/>
        <v>18</v>
      </c>
      <c r="B19" s="32">
        <v>1</v>
      </c>
      <c r="C19" s="1">
        <f t="shared" si="3"/>
        <v>3.8200000000000002E-4</v>
      </c>
      <c r="D19" s="21">
        <v>11.7</v>
      </c>
      <c r="E19" s="29">
        <f t="shared" si="0"/>
        <v>3.264957264957265E-5</v>
      </c>
      <c r="F19" s="22">
        <v>241.6</v>
      </c>
      <c r="G19" s="29">
        <f t="shared" si="1"/>
        <v>1.501892772851532E-19</v>
      </c>
    </row>
    <row r="20" spans="1:7" ht="19.8" customHeight="1" x14ac:dyDescent="0.3">
      <c r="A20" s="20">
        <f t="shared" si="2"/>
        <v>19</v>
      </c>
      <c r="B20" s="32">
        <v>1</v>
      </c>
      <c r="C20" s="1">
        <f t="shared" si="3"/>
        <v>3.8200000000000002E-4</v>
      </c>
      <c r="D20" s="21">
        <v>18.78</v>
      </c>
      <c r="E20" s="29">
        <f t="shared" si="0"/>
        <v>2.0340788072417465E-5</v>
      </c>
      <c r="F20" s="22">
        <v>125.1</v>
      </c>
      <c r="G20" s="29">
        <f t="shared" si="1"/>
        <v>1.4263101029322949E-19</v>
      </c>
    </row>
    <row r="21" spans="1:7" ht="19.8" customHeight="1" x14ac:dyDescent="0.3">
      <c r="A21" s="20">
        <f t="shared" si="2"/>
        <v>20</v>
      </c>
      <c r="B21" s="32">
        <v>2</v>
      </c>
      <c r="C21" s="1">
        <f t="shared" si="3"/>
        <v>7.6400000000000003E-4</v>
      </c>
      <c r="D21" s="21">
        <v>30.8</v>
      </c>
      <c r="E21" s="29">
        <f t="shared" si="0"/>
        <v>2.4805194805194806E-5</v>
      </c>
      <c r="F21" s="22">
        <v>125.1</v>
      </c>
      <c r="G21" s="29">
        <f t="shared" si="1"/>
        <v>1.9207739588404894E-19</v>
      </c>
    </row>
    <row r="22" spans="1:7" ht="19.8" customHeight="1" x14ac:dyDescent="0.3">
      <c r="A22" s="20">
        <f t="shared" si="2"/>
        <v>21</v>
      </c>
      <c r="B22" s="32">
        <v>1</v>
      </c>
      <c r="C22" s="1">
        <f t="shared" si="3"/>
        <v>3.8200000000000002E-4</v>
      </c>
      <c r="D22" s="21">
        <v>20.100000000000001</v>
      </c>
      <c r="E22" s="29">
        <f t="shared" si="0"/>
        <v>1.9004975124378108E-5</v>
      </c>
      <c r="F22" s="22">
        <v>125.1</v>
      </c>
      <c r="G22" s="29">
        <f t="shared" si="1"/>
        <v>1.2881405570980911E-19</v>
      </c>
    </row>
    <row r="23" spans="1:7" ht="19.8" customHeight="1" x14ac:dyDescent="0.3">
      <c r="A23" s="20">
        <f t="shared" si="2"/>
        <v>22</v>
      </c>
      <c r="B23" s="32">
        <v>2</v>
      </c>
      <c r="C23" s="1">
        <f t="shared" si="3"/>
        <v>7.6400000000000003E-4</v>
      </c>
      <c r="D23" s="21">
        <v>13.17</v>
      </c>
      <c r="E23" s="29">
        <f t="shared" si="0"/>
        <v>5.8010630220197421E-5</v>
      </c>
      <c r="F23" s="22">
        <v>284.3</v>
      </c>
      <c r="G23" s="29">
        <f t="shared" si="1"/>
        <v>3.0227631654900422E-19</v>
      </c>
    </row>
    <row r="24" spans="1:7" ht="19.8" customHeight="1" x14ac:dyDescent="0.3">
      <c r="A24" s="20">
        <f t="shared" si="2"/>
        <v>23</v>
      </c>
      <c r="B24" s="32">
        <v>3</v>
      </c>
      <c r="C24" s="1">
        <f t="shared" si="3"/>
        <v>1.1460000000000001E-3</v>
      </c>
      <c r="D24" s="21">
        <v>25.18</v>
      </c>
      <c r="E24" s="29">
        <f t="shared" si="0"/>
        <v>4.5512311358220816E-5</v>
      </c>
      <c r="F24" s="22">
        <v>351</v>
      </c>
      <c r="G24" s="29">
        <f t="shared" si="1"/>
        <v>1.7013976436181344E-19</v>
      </c>
    </row>
    <row r="25" spans="1:7" ht="19.8" customHeight="1" x14ac:dyDescent="0.3">
      <c r="A25" s="20">
        <f t="shared" si="2"/>
        <v>24</v>
      </c>
      <c r="B25" s="32">
        <v>3</v>
      </c>
      <c r="C25" s="1">
        <f t="shared" si="3"/>
        <v>1.1460000000000001E-3</v>
      </c>
      <c r="D25" s="21">
        <v>20.52</v>
      </c>
      <c r="E25" s="29">
        <f t="shared" si="0"/>
        <v>5.5847953216374278E-5</v>
      </c>
      <c r="F25" s="22">
        <v>261.3</v>
      </c>
      <c r="G25" s="29">
        <f t="shared" si="1"/>
        <v>3.106641129886583E-19</v>
      </c>
    </row>
    <row r="26" spans="1:7" ht="19.8" customHeight="1" thickBot="1" x14ac:dyDescent="0.35">
      <c r="A26" s="2">
        <f t="shared" si="2"/>
        <v>25</v>
      </c>
      <c r="B26" s="33">
        <v>1</v>
      </c>
      <c r="C26" s="3">
        <f t="shared" si="3"/>
        <v>3.8200000000000002E-4</v>
      </c>
      <c r="D26" s="18">
        <v>11.98</v>
      </c>
      <c r="E26" s="26">
        <f t="shared" si="0"/>
        <v>3.1886477462437398E-5</v>
      </c>
      <c r="F26" s="23">
        <v>205.6</v>
      </c>
      <c r="G26" s="27">
        <f t="shared" si="1"/>
        <v>1.703359482802157E-19</v>
      </c>
    </row>
    <row r="27" spans="1:7" ht="19.8" customHeight="1" thickTop="1" x14ac:dyDescent="0.3">
      <c r="A27" s="4">
        <f t="shared" si="2"/>
        <v>26</v>
      </c>
      <c r="B27" s="34">
        <v>1</v>
      </c>
      <c r="C27" s="5">
        <f t="shared" si="3"/>
        <v>3.8200000000000002E-4</v>
      </c>
      <c r="D27" s="19">
        <v>8.7200000000000006</v>
      </c>
      <c r="E27" s="6">
        <f t="shared" si="0"/>
        <v>4.380733944954128E-5</v>
      </c>
      <c r="F27" s="24">
        <v>350.9</v>
      </c>
      <c r="G27" s="30">
        <f t="shared" si="1"/>
        <v>1.6071505247025555E-19</v>
      </c>
    </row>
    <row r="28" spans="1:7" ht="19.8" customHeight="1" x14ac:dyDescent="0.3">
      <c r="A28" s="20">
        <f t="shared" si="2"/>
        <v>27</v>
      </c>
      <c r="B28" s="32">
        <v>2</v>
      </c>
      <c r="C28" s="1">
        <f t="shared" si="3"/>
        <v>7.6400000000000003E-4</v>
      </c>
      <c r="D28" s="21">
        <v>10.95</v>
      </c>
      <c r="E28" s="29">
        <f t="shared" si="0"/>
        <v>6.9771689497716903E-5</v>
      </c>
      <c r="F28" s="22">
        <v>355.9</v>
      </c>
      <c r="G28" s="29">
        <f t="shared" si="1"/>
        <v>3.1850076277215292E-19</v>
      </c>
    </row>
    <row r="29" spans="1:7" ht="19.8" customHeight="1" x14ac:dyDescent="0.3">
      <c r="A29" s="20">
        <f t="shared" si="2"/>
        <v>28</v>
      </c>
      <c r="B29" s="32">
        <v>1</v>
      </c>
      <c r="C29" s="1">
        <f t="shared" si="3"/>
        <v>3.8200000000000002E-4</v>
      </c>
      <c r="D29" s="21">
        <v>14.91</v>
      </c>
      <c r="E29" s="29">
        <f t="shared" si="0"/>
        <v>2.562038900067069E-5</v>
      </c>
      <c r="F29" s="22">
        <v>157.5</v>
      </c>
      <c r="G29" s="29">
        <f t="shared" si="1"/>
        <v>1.6014656457632626E-19</v>
      </c>
    </row>
    <row r="30" spans="1:7" ht="19.8" customHeight="1" x14ac:dyDescent="0.3">
      <c r="A30" s="20">
        <f t="shared" si="2"/>
        <v>29</v>
      </c>
      <c r="B30" s="32">
        <v>3</v>
      </c>
      <c r="C30" s="1">
        <f t="shared" si="3"/>
        <v>1.1460000000000001E-3</v>
      </c>
      <c r="D30" s="21">
        <v>17.5</v>
      </c>
      <c r="E30" s="29">
        <f t="shared" si="0"/>
        <v>6.548571428571429E-5</v>
      </c>
      <c r="F30" s="22">
        <v>302.5</v>
      </c>
      <c r="G30" s="29">
        <f t="shared" si="1"/>
        <v>3.4073290824810317E-19</v>
      </c>
    </row>
    <row r="31" spans="1:7" ht="19.8" customHeight="1" x14ac:dyDescent="0.3">
      <c r="A31" s="20">
        <f t="shared" si="2"/>
        <v>30</v>
      </c>
      <c r="B31" s="32">
        <v>2</v>
      </c>
      <c r="C31" s="1">
        <f t="shared" si="3"/>
        <v>7.6400000000000003E-4</v>
      </c>
      <c r="D31" s="21">
        <v>12.38</v>
      </c>
      <c r="E31" s="29">
        <f t="shared" si="0"/>
        <v>6.1712439418416795E-5</v>
      </c>
      <c r="F31" s="22">
        <v>287.10000000000002</v>
      </c>
      <c r="G31" s="29">
        <f t="shared" si="1"/>
        <v>3.2843201439247004E-19</v>
      </c>
    </row>
    <row r="32" spans="1:7" ht="19.8" customHeight="1" x14ac:dyDescent="0.3">
      <c r="A32" s="20">
        <f t="shared" si="2"/>
        <v>31</v>
      </c>
      <c r="B32" s="32">
        <v>1</v>
      </c>
      <c r="C32" s="1">
        <f t="shared" si="3"/>
        <v>3.8200000000000002E-4</v>
      </c>
      <c r="D32" s="21">
        <v>10.039999999999999</v>
      </c>
      <c r="E32" s="29">
        <f t="shared" si="0"/>
        <v>3.8047808764940242E-5</v>
      </c>
      <c r="F32" s="22">
        <v>300.10000000000002</v>
      </c>
      <c r="G32" s="29">
        <f t="shared" si="1"/>
        <v>1.5210660932381775E-19</v>
      </c>
    </row>
    <row r="33" spans="1:7" ht="19.8" customHeight="1" x14ac:dyDescent="0.3">
      <c r="A33" s="20">
        <f t="shared" si="2"/>
        <v>32</v>
      </c>
      <c r="B33" s="32">
        <v>2</v>
      </c>
      <c r="C33" s="1">
        <f t="shared" si="3"/>
        <v>7.6400000000000003E-4</v>
      </c>
      <c r="D33" s="21">
        <v>27.94</v>
      </c>
      <c r="E33" s="29">
        <f t="shared" si="0"/>
        <v>2.7344309234073015E-5</v>
      </c>
      <c r="F33" s="22">
        <v>182.5</v>
      </c>
      <c r="G33" s="29">
        <f t="shared" si="1"/>
        <v>1.5239024668010122E-19</v>
      </c>
    </row>
    <row r="34" spans="1:7" ht="19.8" customHeight="1" x14ac:dyDescent="0.3">
      <c r="A34" s="20">
        <f t="shared" si="2"/>
        <v>33</v>
      </c>
      <c r="B34" s="32">
        <v>1</v>
      </c>
      <c r="C34" s="1">
        <f t="shared" si="3"/>
        <v>3.8200000000000002E-4</v>
      </c>
      <c r="D34" s="21">
        <v>21.35</v>
      </c>
      <c r="E34" s="29">
        <f t="shared" si="0"/>
        <v>1.7892271662763466E-5</v>
      </c>
      <c r="F34" s="22">
        <v>96.3</v>
      </c>
      <c r="G34" s="29">
        <f t="shared" si="1"/>
        <v>1.5285918645641975E-19</v>
      </c>
    </row>
    <row r="35" spans="1:7" ht="19.8" customHeight="1" x14ac:dyDescent="0.3">
      <c r="A35" s="20">
        <f t="shared" si="2"/>
        <v>34</v>
      </c>
      <c r="B35" s="32">
        <v>2</v>
      </c>
      <c r="C35" s="1">
        <f t="shared" si="3"/>
        <v>7.6400000000000003E-4</v>
      </c>
      <c r="D35" s="21">
        <v>15.18</v>
      </c>
      <c r="E35" s="29">
        <f t="shared" si="0"/>
        <v>5.0329380764163375E-5</v>
      </c>
      <c r="F35" s="22">
        <v>221.6</v>
      </c>
      <c r="G35" s="29">
        <f t="shared" si="1"/>
        <v>3.1338790426645739E-19</v>
      </c>
    </row>
    <row r="36" spans="1:7" ht="19.8" customHeight="1" x14ac:dyDescent="0.3">
      <c r="A36" s="20">
        <f t="shared" si="2"/>
        <v>35</v>
      </c>
      <c r="B36" s="32">
        <v>1</v>
      </c>
      <c r="C36" s="1">
        <f t="shared" si="3"/>
        <v>3.8200000000000002E-4</v>
      </c>
      <c r="D36" s="21">
        <v>7.25</v>
      </c>
      <c r="E36" s="29">
        <f t="shared" si="0"/>
        <v>5.2689655172413795E-5</v>
      </c>
      <c r="F36" s="22">
        <v>245</v>
      </c>
      <c r="G36" s="29">
        <f t="shared" si="1"/>
        <v>3.0362781607464198E-19</v>
      </c>
    </row>
    <row r="37" spans="1:7" ht="19.8" customHeight="1" x14ac:dyDescent="0.3">
      <c r="A37" s="20">
        <f t="shared" si="2"/>
        <v>36</v>
      </c>
      <c r="B37" s="32">
        <v>1</v>
      </c>
      <c r="C37" s="1">
        <f t="shared" si="3"/>
        <v>3.8200000000000002E-4</v>
      </c>
      <c r="D37" s="21">
        <v>13.52</v>
      </c>
      <c r="E37" s="29">
        <f t="shared" si="0"/>
        <v>2.8254437869822487E-5</v>
      </c>
      <c r="F37" s="22">
        <v>183.1</v>
      </c>
      <c r="G37" s="29">
        <f t="shared" si="1"/>
        <v>1.5953694386231612E-19</v>
      </c>
    </row>
    <row r="38" spans="1:7" ht="19.8" customHeight="1" x14ac:dyDescent="0.3">
      <c r="A38" s="20">
        <f t="shared" si="2"/>
        <v>37</v>
      </c>
      <c r="B38" s="32">
        <v>2</v>
      </c>
      <c r="C38" s="1">
        <f t="shared" si="3"/>
        <v>7.6400000000000003E-4</v>
      </c>
      <c r="D38" s="21">
        <v>21.47</v>
      </c>
      <c r="E38" s="29">
        <f t="shared" si="0"/>
        <v>3.5584536562645555E-5</v>
      </c>
      <c r="F38" s="22">
        <v>264.89999999999998</v>
      </c>
      <c r="G38" s="29">
        <f t="shared" si="1"/>
        <v>1.5585818646704582E-19</v>
      </c>
    </row>
    <row r="39" spans="1:7" ht="19.8" customHeight="1" x14ac:dyDescent="0.3">
      <c r="A39" s="20">
        <f t="shared" si="2"/>
        <v>38</v>
      </c>
      <c r="B39" s="32">
        <v>1</v>
      </c>
      <c r="C39" s="1">
        <f t="shared" si="3"/>
        <v>3.8200000000000002E-4</v>
      </c>
      <c r="D39" s="21">
        <v>16.329999999999998</v>
      </c>
      <c r="E39" s="29">
        <f t="shared" si="0"/>
        <v>2.3392529087568895E-5</v>
      </c>
      <c r="F39" s="22">
        <v>121.4</v>
      </c>
      <c r="G39" s="29">
        <f t="shared" si="1"/>
        <v>1.8126613978670802E-19</v>
      </c>
    </row>
    <row r="40" spans="1:7" ht="19.8" customHeight="1" x14ac:dyDescent="0.3">
      <c r="A40" s="20">
        <f t="shared" si="2"/>
        <v>39</v>
      </c>
      <c r="B40" s="32">
        <v>1</v>
      </c>
      <c r="C40" s="1">
        <f t="shared" si="3"/>
        <v>3.8200000000000002E-4</v>
      </c>
      <c r="D40" s="21">
        <v>13.47</v>
      </c>
      <c r="E40" s="29">
        <f t="shared" si="0"/>
        <v>2.8359317000742392E-5</v>
      </c>
      <c r="F40" s="22">
        <v>90.5</v>
      </c>
      <c r="G40" s="29">
        <f t="shared" si="1"/>
        <v>3.2457470962973882E-19</v>
      </c>
    </row>
    <row r="41" spans="1:7" ht="19.8" customHeight="1" x14ac:dyDescent="0.3">
      <c r="A41" s="20">
        <f t="shared" si="2"/>
        <v>40</v>
      </c>
      <c r="B41" s="32">
        <v>1</v>
      </c>
      <c r="C41" s="1">
        <f t="shared" si="3"/>
        <v>3.8200000000000002E-4</v>
      </c>
      <c r="D41" s="21">
        <v>15.34</v>
      </c>
      <c r="E41" s="29">
        <f t="shared" si="0"/>
        <v>2.4902216427640159E-5</v>
      </c>
      <c r="F41" s="22">
        <v>153.80000000000001</v>
      </c>
      <c r="G41" s="29">
        <f t="shared" si="1"/>
        <v>1.5715213124261203E-19</v>
      </c>
    </row>
    <row r="42" spans="1:7" ht="19.8" customHeight="1" x14ac:dyDescent="0.3">
      <c r="A42" s="20">
        <f t="shared" si="2"/>
        <v>41</v>
      </c>
      <c r="B42" s="32">
        <v>2</v>
      </c>
      <c r="C42" s="1">
        <f t="shared" si="3"/>
        <v>7.6400000000000003E-4</v>
      </c>
      <c r="D42" s="21">
        <v>28.97</v>
      </c>
      <c r="E42" s="29">
        <f t="shared" si="0"/>
        <v>2.6372109078356923E-5</v>
      </c>
      <c r="F42" s="22">
        <v>88.5</v>
      </c>
      <c r="G42" s="29">
        <f t="shared" si="1"/>
        <v>2.9764159969829277E-19</v>
      </c>
    </row>
    <row r="43" spans="1:7" ht="19.8" customHeight="1" x14ac:dyDescent="0.3">
      <c r="A43" s="20" t="e">
        <f>#REF!+ 1</f>
        <v>#REF!</v>
      </c>
      <c r="B43" s="32">
        <v>1</v>
      </c>
      <c r="C43" s="1">
        <f t="shared" si="3"/>
        <v>3.8200000000000002E-4</v>
      </c>
      <c r="D43" s="21">
        <v>10.88</v>
      </c>
      <c r="E43" s="29">
        <f t="shared" si="0"/>
        <v>3.5110294117647061E-5</v>
      </c>
      <c r="F43" s="22">
        <v>120.2</v>
      </c>
      <c r="G43" s="29">
        <f t="shared" si="1"/>
        <v>3.3664086907642317E-19</v>
      </c>
    </row>
    <row r="44" spans="1:7" ht="19.8" customHeight="1" x14ac:dyDescent="0.3">
      <c r="A44" s="20" t="e">
        <f t="shared" si="2"/>
        <v>#REF!</v>
      </c>
      <c r="B44" s="32">
        <v>2</v>
      </c>
      <c r="C44" s="1">
        <f t="shared" si="3"/>
        <v>7.6400000000000003E-4</v>
      </c>
      <c r="D44" s="21">
        <v>20.7</v>
      </c>
      <c r="E44" s="29">
        <f t="shared" si="0"/>
        <v>3.6908212560386474E-5</v>
      </c>
      <c r="F44" s="22">
        <v>141.30000000000001</v>
      </c>
      <c r="G44" s="29">
        <f t="shared" si="1"/>
        <v>3.0864693137711067E-19</v>
      </c>
    </row>
    <row r="45" spans="1:7" ht="19.8" customHeight="1" x14ac:dyDescent="0.3">
      <c r="A45" s="20" t="e">
        <f t="shared" si="2"/>
        <v>#REF!</v>
      </c>
      <c r="B45" s="32">
        <v>1</v>
      </c>
      <c r="C45" s="1">
        <f t="shared" si="3"/>
        <v>3.8200000000000002E-4</v>
      </c>
      <c r="D45" s="21">
        <v>9.86</v>
      </c>
      <c r="E45" s="29">
        <f t="shared" si="0"/>
        <v>3.8742393509127792E-5</v>
      </c>
      <c r="F45" s="22">
        <v>150.30000000000001</v>
      </c>
      <c r="G45" s="29">
        <f t="shared" si="1"/>
        <v>3.1206157568060424E-19</v>
      </c>
    </row>
    <row r="46" spans="1:7" ht="19.8" customHeight="1" x14ac:dyDescent="0.3">
      <c r="A46" s="20" t="e">
        <f t="shared" si="2"/>
        <v>#REF!</v>
      </c>
      <c r="B46" s="32">
        <v>1</v>
      </c>
      <c r="C46" s="1">
        <f t="shared" si="3"/>
        <v>3.8200000000000002E-4</v>
      </c>
      <c r="D46" s="21">
        <v>17.27</v>
      </c>
      <c r="E46" s="29">
        <f t="shared" si="0"/>
        <v>2.2119281991893459E-5</v>
      </c>
      <c r="F46" s="22">
        <v>110.2</v>
      </c>
      <c r="G46" s="29">
        <f t="shared" si="1"/>
        <v>1.8360924684756792E-19</v>
      </c>
    </row>
    <row r="47" spans="1:7" ht="19.8" customHeight="1" x14ac:dyDescent="0.3">
      <c r="A47" s="20" t="e">
        <f t="shared" si="2"/>
        <v>#REF!</v>
      </c>
      <c r="B47" s="32">
        <v>1</v>
      </c>
      <c r="C47" s="1">
        <f t="shared" si="3"/>
        <v>3.8200000000000002E-4</v>
      </c>
      <c r="D47" s="21">
        <v>22.8</v>
      </c>
      <c r="E47" s="29">
        <f t="shared" si="0"/>
        <v>1.6754385964912282E-5</v>
      </c>
      <c r="F47" s="22">
        <v>95.3</v>
      </c>
      <c r="G47" s="29">
        <f t="shared" si="1"/>
        <v>1.3996500979944261E-19</v>
      </c>
    </row>
    <row r="48" spans="1:7" ht="19.8" customHeight="1" x14ac:dyDescent="0.3">
      <c r="A48" s="20" t="e">
        <f t="shared" si="2"/>
        <v>#REF!</v>
      </c>
      <c r="B48" s="32">
        <v>1</v>
      </c>
      <c r="C48" s="1">
        <f t="shared" si="3"/>
        <v>3.8200000000000002E-4</v>
      </c>
      <c r="D48" s="21">
        <v>17.52</v>
      </c>
      <c r="E48" s="29">
        <f t="shared" si="0"/>
        <v>2.1803652968036531E-5</v>
      </c>
      <c r="F48" s="22">
        <v>143.4</v>
      </c>
      <c r="G48" s="29">
        <f t="shared" si="1"/>
        <v>1.3809067292017733E-19</v>
      </c>
    </row>
    <row r="49" spans="1:7" ht="19.8" customHeight="1" x14ac:dyDescent="0.3">
      <c r="A49" s="20" t="e">
        <f t="shared" si="2"/>
        <v>#REF!</v>
      </c>
      <c r="B49" s="32">
        <v>2</v>
      </c>
      <c r="C49" s="1">
        <f t="shared" si="3"/>
        <v>7.6400000000000003E-4</v>
      </c>
      <c r="D49" s="21">
        <v>16.850000000000001</v>
      </c>
      <c r="E49" s="29">
        <f t="shared" si="0"/>
        <v>4.5341246290801188E-5</v>
      </c>
      <c r="F49" s="22">
        <v>351.1</v>
      </c>
      <c r="G49" s="29">
        <f t="shared" si="1"/>
        <v>1.6913323522575657E-19</v>
      </c>
    </row>
    <row r="50" spans="1:7" ht="19.8" customHeight="1" thickBot="1" x14ac:dyDescent="0.35">
      <c r="A50" s="25" t="e">
        <f xml:space="preserve"> A49+1</f>
        <v>#REF!</v>
      </c>
      <c r="B50" s="33">
        <v>3</v>
      </c>
      <c r="C50" s="3">
        <f t="shared" si="3"/>
        <v>1.1460000000000001E-3</v>
      </c>
      <c r="D50" s="18">
        <v>18.46</v>
      </c>
      <c r="E50" s="26">
        <f t="shared" si="0"/>
        <v>6.2080173347778991E-5</v>
      </c>
      <c r="F50" s="23">
        <v>294</v>
      </c>
      <c r="G50" s="27">
        <f t="shared" si="1"/>
        <v>3.2359489131387781E-19</v>
      </c>
    </row>
    <row r="51" spans="1:7" ht="19.8" customHeight="1" thickTop="1" x14ac:dyDescent="0.3">
      <c r="A51" s="7" t="e">
        <f t="shared" ref="A51:A114" si="4" xml:space="preserve"> A50+1</f>
        <v>#REF!</v>
      </c>
      <c r="B51" s="35">
        <v>3</v>
      </c>
      <c r="C51" s="8">
        <f t="shared" si="3"/>
        <v>1.1460000000000001E-3</v>
      </c>
      <c r="D51" s="19">
        <v>16.63</v>
      </c>
      <c r="E51" s="6">
        <f t="shared" si="0"/>
        <v>6.8911605532170783E-5</v>
      </c>
      <c r="F51" s="24">
        <v>351.4</v>
      </c>
      <c r="G51" s="28">
        <f t="shared" si="1"/>
        <v>3.1663316430888452E-19</v>
      </c>
    </row>
    <row r="52" spans="1:7" ht="19.8" customHeight="1" x14ac:dyDescent="0.3">
      <c r="A52" s="9" t="e">
        <f t="shared" si="4"/>
        <v>#REF!</v>
      </c>
      <c r="B52" s="36">
        <v>4.0999999999999996</v>
      </c>
      <c r="C52" s="10">
        <f t="shared" si="3"/>
        <v>1.5662E-3</v>
      </c>
      <c r="D52" s="21">
        <v>37.72</v>
      </c>
      <c r="E52" s="26">
        <f t="shared" si="0"/>
        <v>4.1521739130434786E-5</v>
      </c>
      <c r="F52" s="22">
        <v>299.3</v>
      </c>
      <c r="G52" s="26">
        <f t="shared" si="1"/>
        <v>1.7387061575952524E-19</v>
      </c>
    </row>
    <row r="53" spans="1:7" ht="19.8" customHeight="1" x14ac:dyDescent="0.3">
      <c r="A53" s="9" t="e">
        <f t="shared" si="4"/>
        <v>#REF!</v>
      </c>
      <c r="B53" s="36">
        <v>8.4</v>
      </c>
      <c r="C53" s="10">
        <f t="shared" si="3"/>
        <v>3.2088000000000004E-3</v>
      </c>
      <c r="D53" s="21">
        <v>56.42</v>
      </c>
      <c r="E53" s="26">
        <f t="shared" si="0"/>
        <v>5.6873449131513653E-5</v>
      </c>
      <c r="F53" s="22">
        <v>261.10000000000002</v>
      </c>
      <c r="G53" s="26">
        <f t="shared" si="1"/>
        <v>3.1950457746418254E-19</v>
      </c>
    </row>
    <row r="54" spans="1:7" ht="19.8" customHeight="1" x14ac:dyDescent="0.3">
      <c r="A54" s="9" t="e">
        <f t="shared" si="4"/>
        <v>#REF!</v>
      </c>
      <c r="B54" s="36">
        <v>9</v>
      </c>
      <c r="C54" s="10">
        <f t="shared" si="3"/>
        <v>3.4380000000000001E-3</v>
      </c>
      <c r="D54" s="21">
        <v>80.97</v>
      </c>
      <c r="E54" s="26">
        <f t="shared" si="0"/>
        <v>4.2460170433493887E-5</v>
      </c>
      <c r="F54" s="22">
        <v>298.10000000000002</v>
      </c>
      <c r="G54" s="26">
        <f t="shared" si="1"/>
        <v>1.8052203858466757E-19</v>
      </c>
    </row>
    <row r="55" spans="1:7" ht="19.8" customHeight="1" x14ac:dyDescent="0.3">
      <c r="A55" s="9" t="e">
        <f t="shared" si="4"/>
        <v>#REF!</v>
      </c>
      <c r="B55" s="36">
        <v>3</v>
      </c>
      <c r="C55" s="10">
        <f t="shared" si="3"/>
        <v>1.1460000000000001E-3</v>
      </c>
      <c r="D55" s="21">
        <v>13.31</v>
      </c>
      <c r="E55" s="26">
        <f t="shared" si="0"/>
        <v>8.6100676183320822E-5</v>
      </c>
      <c r="F55" s="22">
        <v>488.9</v>
      </c>
      <c r="G55" s="26">
        <f t="shared" si="1"/>
        <v>3.178406290914986E-19</v>
      </c>
    </row>
    <row r="56" spans="1:7" ht="19.8" customHeight="1" x14ac:dyDescent="0.3">
      <c r="A56" s="9" t="e">
        <f t="shared" si="4"/>
        <v>#REF!</v>
      </c>
      <c r="B56" s="36">
        <v>6</v>
      </c>
      <c r="C56" s="10">
        <f t="shared" si="3"/>
        <v>2.2920000000000002E-3</v>
      </c>
      <c r="D56" s="21">
        <v>43.59</v>
      </c>
      <c r="E56" s="26">
        <f t="shared" si="0"/>
        <v>5.2580867171369578E-5</v>
      </c>
      <c r="F56" s="22">
        <v>328.6</v>
      </c>
      <c r="G56" s="26">
        <f t="shared" si="1"/>
        <v>2.2568030650481154E-19</v>
      </c>
    </row>
    <row r="57" spans="1:7" ht="19.8" customHeight="1" x14ac:dyDescent="0.3">
      <c r="A57" s="9" t="e">
        <f t="shared" si="4"/>
        <v>#REF!</v>
      </c>
      <c r="B57" s="36">
        <v>9</v>
      </c>
      <c r="C57" s="10">
        <f t="shared" si="3"/>
        <v>3.4380000000000001E-3</v>
      </c>
      <c r="D57" s="21">
        <v>57.5</v>
      </c>
      <c r="E57" s="26">
        <f t="shared" si="0"/>
        <v>5.9791304347826086E-5</v>
      </c>
      <c r="F57" s="22">
        <v>280.3</v>
      </c>
      <c r="G57" s="26">
        <f t="shared" si="1"/>
        <v>3.2081417521553777E-19</v>
      </c>
    </row>
    <row r="58" spans="1:7" ht="19.8" customHeight="1" x14ac:dyDescent="0.3">
      <c r="A58" s="9" t="e">
        <f t="shared" si="4"/>
        <v>#REF!</v>
      </c>
      <c r="B58" s="36">
        <v>4</v>
      </c>
      <c r="C58" s="10">
        <f t="shared" si="3"/>
        <v>1.5280000000000001E-3</v>
      </c>
      <c r="D58" s="21">
        <v>26.32</v>
      </c>
      <c r="E58" s="26">
        <f t="shared" si="0"/>
        <v>5.8054711246200611E-5</v>
      </c>
      <c r="F58" s="22">
        <v>265</v>
      </c>
      <c r="G58" s="26">
        <f t="shared" si="1"/>
        <v>3.2466086070519004E-19</v>
      </c>
    </row>
    <row r="59" spans="1:7" ht="19.8" customHeight="1" x14ac:dyDescent="0.3">
      <c r="A59" s="9" t="e">
        <f t="shared" si="4"/>
        <v>#REF!</v>
      </c>
      <c r="B59" s="36">
        <v>5</v>
      </c>
      <c r="C59" s="10">
        <f t="shared" si="3"/>
        <v>1.91E-3</v>
      </c>
      <c r="D59" s="21">
        <v>54.03</v>
      </c>
      <c r="E59" s="26">
        <f t="shared" si="0"/>
        <v>3.5350731075328522E-5</v>
      </c>
      <c r="F59" s="22">
        <v>265</v>
      </c>
      <c r="G59" s="26">
        <f t="shared" si="1"/>
        <v>1.5426639518810453E-19</v>
      </c>
    </row>
    <row r="60" spans="1:7" ht="19.8" customHeight="1" x14ac:dyDescent="0.3">
      <c r="A60" s="9" t="e">
        <f t="shared" si="4"/>
        <v>#REF!</v>
      </c>
      <c r="B60" s="36">
        <v>6.7</v>
      </c>
      <c r="C60" s="10">
        <f t="shared" si="3"/>
        <v>2.5594000000000003E-3</v>
      </c>
      <c r="D60" s="21">
        <v>54.36</v>
      </c>
      <c r="E60" s="26">
        <f t="shared" si="0"/>
        <v>4.7082413539367186E-5</v>
      </c>
      <c r="F60" s="22">
        <v>302.8</v>
      </c>
      <c r="G60" s="26">
        <f t="shared" si="1"/>
        <v>2.0751610685919882E-19</v>
      </c>
    </row>
    <row r="61" spans="1:7" ht="19.8" customHeight="1" x14ac:dyDescent="0.3">
      <c r="A61" s="9" t="e">
        <f t="shared" si="4"/>
        <v>#REF!</v>
      </c>
      <c r="B61" s="36">
        <v>9.6999999999999993</v>
      </c>
      <c r="C61" s="10">
        <f t="shared" si="3"/>
        <v>3.7053999999999998E-3</v>
      </c>
      <c r="D61" s="21">
        <v>82.73</v>
      </c>
      <c r="E61" s="26">
        <f t="shared" si="0"/>
        <v>4.4789072887706993E-5</v>
      </c>
      <c r="F61" s="22">
        <v>187.6</v>
      </c>
      <c r="G61" s="26">
        <f t="shared" si="1"/>
        <v>3.107741454256557E-19</v>
      </c>
    </row>
    <row r="62" spans="1:7" ht="19.8" customHeight="1" x14ac:dyDescent="0.3">
      <c r="A62" s="9" t="e">
        <f t="shared" si="4"/>
        <v>#REF!</v>
      </c>
      <c r="B62" s="36">
        <v>4.5</v>
      </c>
      <c r="C62" s="10">
        <f t="shared" si="3"/>
        <v>1.719E-3</v>
      </c>
      <c r="D62" s="21">
        <v>63.32</v>
      </c>
      <c r="E62" s="26">
        <f t="shared" si="0"/>
        <v>2.7147820593809225E-5</v>
      </c>
      <c r="F62" s="22">
        <v>187.6</v>
      </c>
      <c r="G62" s="26">
        <f t="shared" si="1"/>
        <v>1.4665241778245619E-19</v>
      </c>
    </row>
    <row r="63" spans="1:7" ht="19.8" customHeight="1" x14ac:dyDescent="0.3">
      <c r="A63" s="9" t="e">
        <f t="shared" si="4"/>
        <v>#REF!</v>
      </c>
      <c r="B63" s="36">
        <v>4.3</v>
      </c>
      <c r="C63" s="10">
        <f t="shared" si="3"/>
        <v>1.6425999999999999E-3</v>
      </c>
      <c r="D63" s="21">
        <v>46.04</v>
      </c>
      <c r="E63" s="26">
        <f t="shared" si="0"/>
        <v>3.5677671589921808E-5</v>
      </c>
      <c r="F63" s="22">
        <v>300.3</v>
      </c>
      <c r="G63" s="26">
        <f t="shared" si="1"/>
        <v>1.3802540456259549E-19</v>
      </c>
    </row>
    <row r="64" spans="1:7" ht="19.8" customHeight="1" x14ac:dyDescent="0.3">
      <c r="A64" s="9" t="e">
        <f t="shared" si="4"/>
        <v>#REF!</v>
      </c>
      <c r="B64" s="36">
        <v>4.5</v>
      </c>
      <c r="C64" s="10">
        <f t="shared" si="3"/>
        <v>1.719E-3</v>
      </c>
      <c r="D64" s="21">
        <v>39.380000000000003</v>
      </c>
      <c r="E64" s="26">
        <f t="shared" si="0"/>
        <v>4.365159979685119E-5</v>
      </c>
      <c r="F64" s="22">
        <v>300.10000000000002</v>
      </c>
      <c r="G64" s="26">
        <f t="shared" si="1"/>
        <v>1.8691917587859454E-19</v>
      </c>
    </row>
    <row r="65" spans="1:7" ht="19.8" customHeight="1" x14ac:dyDescent="0.3">
      <c r="A65" s="9" t="e">
        <f t="shared" si="4"/>
        <v>#REF!</v>
      </c>
      <c r="B65" s="36">
        <v>6.4</v>
      </c>
      <c r="C65" s="10">
        <f t="shared" si="3"/>
        <v>2.4448000000000004E-3</v>
      </c>
      <c r="D65" s="21">
        <v>76.010000000000005</v>
      </c>
      <c r="E65" s="26">
        <f t="shared" si="0"/>
        <v>3.2164188922510196E-5</v>
      </c>
      <c r="F65" s="22">
        <v>323.3</v>
      </c>
      <c r="G65" s="26">
        <f t="shared" si="1"/>
        <v>1.0974198403896314E-19</v>
      </c>
    </row>
    <row r="66" spans="1:7" ht="19.8" customHeight="1" x14ac:dyDescent="0.3">
      <c r="A66" s="9" t="e">
        <f t="shared" si="4"/>
        <v>#REF!</v>
      </c>
      <c r="B66" s="36">
        <v>4</v>
      </c>
      <c r="C66" s="10">
        <f t="shared" si="3"/>
        <v>1.5280000000000001E-3</v>
      </c>
      <c r="D66" s="21">
        <v>24.82</v>
      </c>
      <c r="E66" s="26">
        <f t="shared" ref="E66:E129" si="5" xml:space="preserve"> C66/D66</f>
        <v>6.1563255439161962E-5</v>
      </c>
      <c r="F66" s="22">
        <v>280</v>
      </c>
      <c r="G66" s="26">
        <f t="shared" ref="G66:G129" si="6" xml:space="preserve"> 1.945*10^-10*E66^1.5/F66</f>
        <v>3.3553972166029179E-19</v>
      </c>
    </row>
    <row r="67" spans="1:7" ht="19.8" customHeight="1" x14ac:dyDescent="0.3">
      <c r="A67" s="9" t="e">
        <f t="shared" si="4"/>
        <v>#REF!</v>
      </c>
      <c r="B67" s="36">
        <v>6.5</v>
      </c>
      <c r="C67" s="10">
        <f t="shared" ref="C67:C130" si="7">B67*0.000382</f>
        <v>2.483E-3</v>
      </c>
      <c r="D67" s="21">
        <v>72.55</v>
      </c>
      <c r="E67" s="26">
        <f t="shared" si="5"/>
        <v>3.4224672639558923E-5</v>
      </c>
      <c r="F67" s="22">
        <v>346.2</v>
      </c>
      <c r="G67" s="26">
        <f t="shared" si="6"/>
        <v>1.1248678291958947E-19</v>
      </c>
    </row>
    <row r="68" spans="1:7" ht="19.8" customHeight="1" x14ac:dyDescent="0.3">
      <c r="A68" s="9" t="e">
        <f t="shared" si="4"/>
        <v>#REF!</v>
      </c>
      <c r="B68" s="36">
        <v>3.8</v>
      </c>
      <c r="C68" s="10">
        <f t="shared" si="7"/>
        <v>1.4515999999999999E-3</v>
      </c>
      <c r="D68" s="21">
        <v>46.15</v>
      </c>
      <c r="E68" s="26">
        <f t="shared" si="5"/>
        <v>3.1453954496208016E-5</v>
      </c>
      <c r="F68" s="22">
        <v>220.9</v>
      </c>
      <c r="G68" s="26">
        <f t="shared" si="6"/>
        <v>1.5532335795436841E-19</v>
      </c>
    </row>
    <row r="69" spans="1:7" ht="19.8" customHeight="1" x14ac:dyDescent="0.3">
      <c r="A69" s="9" t="e">
        <f t="shared" si="4"/>
        <v>#REF!</v>
      </c>
      <c r="B69" s="36">
        <v>5</v>
      </c>
      <c r="C69" s="10">
        <f t="shared" si="7"/>
        <v>1.91E-3</v>
      </c>
      <c r="D69" s="21">
        <v>47.62</v>
      </c>
      <c r="E69" s="26">
        <f t="shared" si="5"/>
        <v>4.0109197816043682E-5</v>
      </c>
      <c r="F69" s="22">
        <v>160.4</v>
      </c>
      <c r="G69" s="26">
        <f t="shared" si="6"/>
        <v>3.0802162378367452E-19</v>
      </c>
    </row>
    <row r="70" spans="1:7" ht="19.8" customHeight="1" x14ac:dyDescent="0.3">
      <c r="A70" s="9" t="e">
        <f t="shared" si="4"/>
        <v>#REF!</v>
      </c>
      <c r="B70" s="36">
        <v>4.2</v>
      </c>
      <c r="C70" s="10">
        <f t="shared" si="7"/>
        <v>1.6044000000000002E-3</v>
      </c>
      <c r="D70" s="21">
        <v>45.41</v>
      </c>
      <c r="E70" s="26">
        <f t="shared" si="5"/>
        <v>3.5331424796300381E-5</v>
      </c>
      <c r="F70" s="22">
        <v>234.3</v>
      </c>
      <c r="G70" s="26">
        <f t="shared" si="6"/>
        <v>1.7433678958293314E-19</v>
      </c>
    </row>
    <row r="71" spans="1:7" ht="19.8" customHeight="1" x14ac:dyDescent="0.3">
      <c r="A71" s="9" t="e">
        <f t="shared" si="4"/>
        <v>#REF!</v>
      </c>
      <c r="B71" s="36">
        <v>3.4</v>
      </c>
      <c r="C71" s="10">
        <f t="shared" si="7"/>
        <v>1.2987999999999999E-3</v>
      </c>
      <c r="D71" s="21">
        <v>39.729999999999997</v>
      </c>
      <c r="E71" s="26">
        <f t="shared" si="5"/>
        <v>3.2690661968285932E-5</v>
      </c>
      <c r="F71" s="22">
        <v>197.7</v>
      </c>
      <c r="G71" s="26">
        <f t="shared" si="6"/>
        <v>1.8388593345230329E-19</v>
      </c>
    </row>
    <row r="72" spans="1:7" ht="19.8" customHeight="1" x14ac:dyDescent="0.3">
      <c r="A72" s="9" t="e">
        <f t="shared" si="4"/>
        <v>#REF!</v>
      </c>
      <c r="B72" s="36">
        <v>6.8</v>
      </c>
      <c r="C72" s="10">
        <f t="shared" si="7"/>
        <v>2.5975999999999998E-3</v>
      </c>
      <c r="D72" s="21">
        <v>73.510000000000005</v>
      </c>
      <c r="E72" s="26">
        <f t="shared" si="5"/>
        <v>3.5336688885865861E-5</v>
      </c>
      <c r="F72" s="22">
        <v>197.7</v>
      </c>
      <c r="G72" s="26">
        <f t="shared" si="6"/>
        <v>2.0665775903237654E-19</v>
      </c>
    </row>
    <row r="73" spans="1:7" ht="19.8" customHeight="1" x14ac:dyDescent="0.3">
      <c r="A73" s="9" t="e">
        <f t="shared" si="4"/>
        <v>#REF!</v>
      </c>
      <c r="B73" s="36">
        <v>6.8</v>
      </c>
      <c r="C73" s="10">
        <f t="shared" si="7"/>
        <v>2.5975999999999998E-3</v>
      </c>
      <c r="D73" s="21">
        <v>72.38</v>
      </c>
      <c r="E73" s="26">
        <f t="shared" si="5"/>
        <v>3.5888366952196737E-5</v>
      </c>
      <c r="F73" s="22">
        <v>213.9</v>
      </c>
      <c r="G73" s="26">
        <f t="shared" si="6"/>
        <v>1.9549667096134093E-19</v>
      </c>
    </row>
    <row r="74" spans="1:7" ht="19.8" customHeight="1" x14ac:dyDescent="0.3">
      <c r="A74" s="9" t="e">
        <f t="shared" si="4"/>
        <v>#REF!</v>
      </c>
      <c r="B74" s="36">
        <v>5.7</v>
      </c>
      <c r="C74" s="10">
        <f t="shared" si="7"/>
        <v>2.1774000000000003E-3</v>
      </c>
      <c r="D74" s="21">
        <v>59.05</v>
      </c>
      <c r="E74" s="26">
        <f t="shared" si="5"/>
        <v>3.687383573243015E-5</v>
      </c>
      <c r="F74" s="22">
        <v>300.3</v>
      </c>
      <c r="G74" s="26">
        <f t="shared" si="6"/>
        <v>1.4502462408446964E-19</v>
      </c>
    </row>
    <row r="75" spans="1:7" ht="19.8" customHeight="1" x14ac:dyDescent="0.3">
      <c r="A75" s="9" t="e">
        <f t="shared" si="4"/>
        <v>#REF!</v>
      </c>
      <c r="B75" s="36">
        <v>6.4</v>
      </c>
      <c r="C75" s="10">
        <f t="shared" si="7"/>
        <v>2.4448000000000004E-3</v>
      </c>
      <c r="D75" s="21">
        <v>70.62</v>
      </c>
      <c r="E75" s="26">
        <f t="shared" si="5"/>
        <v>3.4619088077032004E-5</v>
      </c>
      <c r="F75" s="22">
        <v>278.3</v>
      </c>
      <c r="G75" s="26">
        <f t="shared" si="6"/>
        <v>1.4235733028995652E-19</v>
      </c>
    </row>
    <row r="76" spans="1:7" ht="19.8" customHeight="1" x14ac:dyDescent="0.3">
      <c r="A76" s="7" t="e">
        <f t="shared" si="4"/>
        <v>#REF!</v>
      </c>
      <c r="B76" s="35">
        <v>5.4</v>
      </c>
      <c r="C76" s="8">
        <f t="shared" si="7"/>
        <v>2.0628000000000001E-3</v>
      </c>
      <c r="D76" s="21">
        <v>45.33</v>
      </c>
      <c r="E76" s="26">
        <f t="shared" si="5"/>
        <v>4.550628722700199E-5</v>
      </c>
      <c r="F76" s="22">
        <v>177.1</v>
      </c>
      <c r="G76" s="28">
        <f t="shared" si="6"/>
        <v>3.3713834456359989E-19</v>
      </c>
    </row>
    <row r="77" spans="1:7" ht="19.8" customHeight="1" x14ac:dyDescent="0.3">
      <c r="A77" s="9" t="e">
        <f t="shared" si="4"/>
        <v>#REF!</v>
      </c>
      <c r="B77" s="36">
        <v>7.5</v>
      </c>
      <c r="C77" s="10">
        <f t="shared" si="7"/>
        <v>2.8649999999999999E-3</v>
      </c>
      <c r="D77" s="21">
        <v>51.42</v>
      </c>
      <c r="E77" s="26">
        <f t="shared" si="5"/>
        <v>5.5717619603267208E-5</v>
      </c>
      <c r="F77" s="22">
        <v>256.10000000000002</v>
      </c>
      <c r="G77" s="26">
        <f t="shared" si="6"/>
        <v>3.1586307439966127E-19</v>
      </c>
    </row>
    <row r="78" spans="1:7" ht="19.8" customHeight="1" x14ac:dyDescent="0.3">
      <c r="A78" s="9" t="e">
        <f t="shared" si="4"/>
        <v>#REF!</v>
      </c>
      <c r="B78" s="36">
        <v>4.3</v>
      </c>
      <c r="C78" s="10">
        <f t="shared" si="7"/>
        <v>1.6425999999999999E-3</v>
      </c>
      <c r="D78" s="21">
        <v>64.209999999999994</v>
      </c>
      <c r="E78" s="26">
        <f t="shared" si="5"/>
        <v>2.5581685095779475E-5</v>
      </c>
      <c r="F78" s="22">
        <v>165.4</v>
      </c>
      <c r="G78" s="26">
        <f t="shared" si="6"/>
        <v>1.5215205531331044E-19</v>
      </c>
    </row>
    <row r="79" spans="1:7" ht="19.8" customHeight="1" x14ac:dyDescent="0.3">
      <c r="A79" s="9" t="e">
        <f t="shared" si="4"/>
        <v>#REF!</v>
      </c>
      <c r="B79" s="36">
        <v>6.3</v>
      </c>
      <c r="C79" s="10">
        <f t="shared" si="7"/>
        <v>2.4066000000000001E-3</v>
      </c>
      <c r="D79" s="21">
        <v>65.2</v>
      </c>
      <c r="E79" s="26">
        <f t="shared" si="5"/>
        <v>3.6911042944785273E-5</v>
      </c>
      <c r="F79" s="22">
        <v>270.10000000000002</v>
      </c>
      <c r="G79" s="26">
        <f t="shared" si="6"/>
        <v>1.6148399924420792E-19</v>
      </c>
    </row>
    <row r="80" spans="1:7" ht="19.8" customHeight="1" x14ac:dyDescent="0.3">
      <c r="A80" s="9" t="e">
        <f t="shared" si="4"/>
        <v>#REF!</v>
      </c>
      <c r="B80" s="36">
        <v>3.7</v>
      </c>
      <c r="C80" s="10">
        <f t="shared" si="7"/>
        <v>1.4134000000000002E-3</v>
      </c>
      <c r="D80" s="21">
        <v>21.22</v>
      </c>
      <c r="E80" s="26">
        <f t="shared" si="5"/>
        <v>6.6606974552309151E-5</v>
      </c>
      <c r="F80" s="22">
        <v>329.6</v>
      </c>
      <c r="G80" s="26">
        <f t="shared" si="6"/>
        <v>3.2078345729575732E-19</v>
      </c>
    </row>
    <row r="81" spans="1:7" ht="19.8" customHeight="1" x14ac:dyDescent="0.3">
      <c r="A81" s="9" t="e">
        <f t="shared" si="4"/>
        <v>#REF!</v>
      </c>
      <c r="B81" s="36">
        <v>7.5</v>
      </c>
      <c r="C81" s="10">
        <f t="shared" si="7"/>
        <v>2.8649999999999999E-3</v>
      </c>
      <c r="D81" s="21">
        <v>60.56</v>
      </c>
      <c r="E81" s="26">
        <f t="shared" si="5"/>
        <v>4.7308454425363273E-5</v>
      </c>
      <c r="F81" s="22">
        <v>194.9</v>
      </c>
      <c r="G81" s="26">
        <f t="shared" si="6"/>
        <v>3.2472513517691105E-19</v>
      </c>
    </row>
    <row r="82" spans="1:7" ht="19.8" customHeight="1" x14ac:dyDescent="0.3">
      <c r="A82" s="9" t="e">
        <f t="shared" si="4"/>
        <v>#REF!</v>
      </c>
      <c r="B82" s="36">
        <v>7.6</v>
      </c>
      <c r="C82" s="10">
        <f t="shared" si="7"/>
        <v>2.9031999999999999E-3</v>
      </c>
      <c r="D82" s="21">
        <v>92.54</v>
      </c>
      <c r="E82" s="26">
        <f t="shared" si="5"/>
        <v>3.1372379511562561E-5</v>
      </c>
      <c r="F82" s="22">
        <v>231.5</v>
      </c>
      <c r="G82" s="26">
        <f t="shared" si="6"/>
        <v>1.4763516044018325E-19</v>
      </c>
    </row>
    <row r="83" spans="1:7" ht="19.8" customHeight="1" x14ac:dyDescent="0.3">
      <c r="A83" s="9" t="e">
        <f t="shared" si="4"/>
        <v>#REF!</v>
      </c>
      <c r="B83" s="36">
        <v>2.2999999999999998</v>
      </c>
      <c r="C83" s="10">
        <f t="shared" si="7"/>
        <v>8.786E-4</v>
      </c>
      <c r="D83" s="21">
        <v>18.399999999999999</v>
      </c>
      <c r="E83" s="26">
        <f t="shared" si="5"/>
        <v>4.7750000000000002E-5</v>
      </c>
      <c r="F83" s="22">
        <v>319.2</v>
      </c>
      <c r="G83" s="26">
        <f t="shared" si="6"/>
        <v>2.0105588371978242E-19</v>
      </c>
    </row>
    <row r="84" spans="1:7" ht="19.8" customHeight="1" x14ac:dyDescent="0.3">
      <c r="A84" s="9" t="e">
        <f t="shared" si="4"/>
        <v>#REF!</v>
      </c>
      <c r="B84" s="36">
        <v>7.5</v>
      </c>
      <c r="C84" s="10">
        <f t="shared" si="7"/>
        <v>2.8649999999999999E-3</v>
      </c>
      <c r="D84" s="21">
        <v>79.03</v>
      </c>
      <c r="E84" s="26">
        <f t="shared" si="5"/>
        <v>3.6252056181197015E-5</v>
      </c>
      <c r="F84" s="22">
        <v>119.2</v>
      </c>
      <c r="G84" s="26">
        <f t="shared" si="6"/>
        <v>3.561576825591882E-19</v>
      </c>
    </row>
    <row r="85" spans="1:7" ht="19.8" customHeight="1" x14ac:dyDescent="0.3">
      <c r="A85" s="9" t="e">
        <f t="shared" si="4"/>
        <v>#REF!</v>
      </c>
      <c r="B85" s="36">
        <v>6.2</v>
      </c>
      <c r="C85" s="10">
        <f t="shared" si="7"/>
        <v>2.3684000000000001E-3</v>
      </c>
      <c r="D85" s="21">
        <v>62.87</v>
      </c>
      <c r="E85" s="26">
        <f t="shared" si="5"/>
        <v>3.7671385398441234E-5</v>
      </c>
      <c r="F85" s="22">
        <v>265.3</v>
      </c>
      <c r="G85" s="26">
        <f t="shared" si="6"/>
        <v>1.695117251422873E-19</v>
      </c>
    </row>
    <row r="86" spans="1:7" ht="19.8" customHeight="1" x14ac:dyDescent="0.3">
      <c r="A86" s="9" t="e">
        <f t="shared" si="4"/>
        <v>#REF!</v>
      </c>
      <c r="B86" s="36">
        <v>5.6</v>
      </c>
      <c r="C86" s="10">
        <f t="shared" si="7"/>
        <v>2.1392E-3</v>
      </c>
      <c r="D86" s="21">
        <v>54.13</v>
      </c>
      <c r="E86" s="26">
        <f t="shared" si="5"/>
        <v>3.9519674856826155E-5</v>
      </c>
      <c r="F86" s="22">
        <v>154.6</v>
      </c>
      <c r="G86" s="26">
        <f t="shared" si="6"/>
        <v>3.1255766970715266E-19</v>
      </c>
    </row>
    <row r="87" spans="1:7" ht="19.8" customHeight="1" x14ac:dyDescent="0.3">
      <c r="A87" s="9" t="e">
        <f t="shared" si="4"/>
        <v>#REF!</v>
      </c>
      <c r="B87" s="36">
        <v>5.4</v>
      </c>
      <c r="C87" s="10">
        <f t="shared" si="7"/>
        <v>2.0628000000000001E-3</v>
      </c>
      <c r="D87" s="21">
        <v>32.119999999999997</v>
      </c>
      <c r="E87" s="26">
        <f t="shared" si="5"/>
        <v>6.4221668742216694E-5</v>
      </c>
      <c r="F87" s="22">
        <v>280.89999999999998</v>
      </c>
      <c r="G87" s="26">
        <f t="shared" si="6"/>
        <v>3.5636106293196069E-19</v>
      </c>
    </row>
    <row r="88" spans="1:7" ht="19.8" customHeight="1" x14ac:dyDescent="0.3">
      <c r="A88" s="9" t="e">
        <f t="shared" si="4"/>
        <v>#REF!</v>
      </c>
      <c r="B88" s="36">
        <v>8.3000000000000007</v>
      </c>
      <c r="C88" s="10">
        <f t="shared" si="7"/>
        <v>3.1706000000000004E-3</v>
      </c>
      <c r="D88" s="21">
        <v>78.64</v>
      </c>
      <c r="E88" s="26">
        <f t="shared" si="5"/>
        <v>4.0317904374364195E-5</v>
      </c>
      <c r="F88" s="22">
        <v>346.3</v>
      </c>
      <c r="G88" s="26">
        <f t="shared" si="6"/>
        <v>1.4378515165057115E-19</v>
      </c>
    </row>
    <row r="89" spans="1:7" ht="19.8" customHeight="1" x14ac:dyDescent="0.3">
      <c r="A89" s="9" t="e">
        <f t="shared" si="4"/>
        <v>#REF!</v>
      </c>
      <c r="B89" s="36">
        <v>7</v>
      </c>
      <c r="C89" s="10">
        <f t="shared" si="7"/>
        <v>2.6740000000000002E-3</v>
      </c>
      <c r="D89" s="21">
        <v>52.81</v>
      </c>
      <c r="E89" s="26">
        <f t="shared" si="5"/>
        <v>5.0634349555008525E-5</v>
      </c>
      <c r="F89" s="22">
        <v>268.10000000000002</v>
      </c>
      <c r="G89" s="26">
        <f t="shared" si="6"/>
        <v>2.6139100878956281E-19</v>
      </c>
    </row>
    <row r="90" spans="1:7" ht="19.8" customHeight="1" x14ac:dyDescent="0.3">
      <c r="A90" s="9" t="e">
        <f t="shared" si="4"/>
        <v>#REF!</v>
      </c>
      <c r="B90" s="36">
        <v>4.5</v>
      </c>
      <c r="C90" s="10">
        <f t="shared" si="7"/>
        <v>1.719E-3</v>
      </c>
      <c r="D90" s="21">
        <v>67.069999999999993</v>
      </c>
      <c r="E90" s="26">
        <f t="shared" si="5"/>
        <v>2.5629938869837487E-5</v>
      </c>
      <c r="F90" s="22">
        <v>192.8</v>
      </c>
      <c r="G90" s="26">
        <f t="shared" si="6"/>
        <v>1.3089827748161014E-19</v>
      </c>
    </row>
    <row r="91" spans="1:7" ht="19.8" customHeight="1" x14ac:dyDescent="0.3">
      <c r="A91" s="9" t="e">
        <f t="shared" si="4"/>
        <v>#REF!</v>
      </c>
      <c r="B91" s="36">
        <v>6.3</v>
      </c>
      <c r="C91" s="10">
        <f t="shared" si="7"/>
        <v>2.4066000000000001E-3</v>
      </c>
      <c r="D91" s="21">
        <v>59.35</v>
      </c>
      <c r="E91" s="26">
        <f t="shared" si="5"/>
        <v>4.0549283909014321E-5</v>
      </c>
      <c r="F91" s="22">
        <v>215.8</v>
      </c>
      <c r="G91" s="26">
        <f t="shared" si="6"/>
        <v>2.3272495174552171E-19</v>
      </c>
    </row>
    <row r="92" spans="1:7" ht="19.8" customHeight="1" x14ac:dyDescent="0.3">
      <c r="A92" s="9" t="e">
        <f t="shared" si="4"/>
        <v>#REF!</v>
      </c>
      <c r="B92" s="36">
        <v>1</v>
      </c>
      <c r="C92" s="10">
        <f t="shared" si="7"/>
        <v>3.8200000000000002E-4</v>
      </c>
      <c r="D92" s="21">
        <v>21.35</v>
      </c>
      <c r="E92" s="26">
        <f t="shared" si="5"/>
        <v>1.7892271662763466E-5</v>
      </c>
      <c r="F92" s="22">
        <v>96.3</v>
      </c>
      <c r="G92" s="26">
        <f t="shared" si="6"/>
        <v>1.5285918645641975E-19</v>
      </c>
    </row>
    <row r="93" spans="1:7" ht="19.8" customHeight="1" x14ac:dyDescent="0.3">
      <c r="A93" s="9" t="e">
        <f t="shared" si="4"/>
        <v>#REF!</v>
      </c>
      <c r="B93" s="36">
        <v>2</v>
      </c>
      <c r="C93" s="10">
        <f t="shared" si="7"/>
        <v>7.6400000000000003E-4</v>
      </c>
      <c r="D93" s="21">
        <v>16.850000000000001</v>
      </c>
      <c r="E93" s="26">
        <f t="shared" si="5"/>
        <v>4.5341246290801188E-5</v>
      </c>
      <c r="F93" s="22">
        <v>350.1</v>
      </c>
      <c r="G93" s="26">
        <f t="shared" si="6"/>
        <v>1.696163350121769E-19</v>
      </c>
    </row>
    <row r="94" spans="1:7" ht="19.8" customHeight="1" x14ac:dyDescent="0.3">
      <c r="A94" s="9" t="e">
        <f t="shared" si="4"/>
        <v>#REF!</v>
      </c>
      <c r="B94" s="36">
        <v>3.7</v>
      </c>
      <c r="C94" s="10">
        <f t="shared" si="7"/>
        <v>1.4134000000000002E-3</v>
      </c>
      <c r="D94" s="21">
        <v>21.22</v>
      </c>
      <c r="E94" s="26">
        <f t="shared" si="5"/>
        <v>6.6606974552309151E-5</v>
      </c>
      <c r="F94" s="22">
        <v>329.6</v>
      </c>
      <c r="G94" s="26">
        <f t="shared" si="6"/>
        <v>3.2078345729575732E-19</v>
      </c>
    </row>
    <row r="95" spans="1:7" ht="19.8" customHeight="1" x14ac:dyDescent="0.3">
      <c r="A95" s="9" t="e">
        <f xml:space="preserve"> A94+1</f>
        <v>#REF!</v>
      </c>
      <c r="B95" s="36">
        <v>2</v>
      </c>
      <c r="C95" s="10">
        <f t="shared" si="7"/>
        <v>7.6400000000000003E-4</v>
      </c>
      <c r="D95" s="21">
        <v>15.18</v>
      </c>
      <c r="E95" s="26">
        <f t="shared" si="5"/>
        <v>5.0329380764163375E-5</v>
      </c>
      <c r="F95" s="22">
        <v>230.6</v>
      </c>
      <c r="G95" s="26">
        <f t="shared" si="6"/>
        <v>3.0115680652839096E-19</v>
      </c>
    </row>
    <row r="96" spans="1:7" ht="19.8" customHeight="1" x14ac:dyDescent="0.3">
      <c r="A96" s="9" t="e">
        <f t="shared" si="4"/>
        <v>#REF!</v>
      </c>
      <c r="B96" s="36">
        <v>2</v>
      </c>
      <c r="C96" s="10">
        <f t="shared" si="7"/>
        <v>7.6400000000000003E-4</v>
      </c>
      <c r="D96" s="21">
        <v>15.18</v>
      </c>
      <c r="E96" s="26">
        <f t="shared" si="5"/>
        <v>5.0329380764163375E-5</v>
      </c>
      <c r="F96" s="22">
        <v>235.6</v>
      </c>
      <c r="G96" s="26">
        <f t="shared" si="6"/>
        <v>2.9476553304519083E-19</v>
      </c>
    </row>
    <row r="97" spans="1:7" ht="19.8" customHeight="1" x14ac:dyDescent="0.3">
      <c r="A97" s="9" t="e">
        <f t="shared" si="4"/>
        <v>#REF!</v>
      </c>
      <c r="B97" s="36">
        <v>2</v>
      </c>
      <c r="C97" s="10">
        <f t="shared" si="7"/>
        <v>7.6400000000000003E-4</v>
      </c>
      <c r="D97" s="21">
        <v>15.18</v>
      </c>
      <c r="E97" s="26">
        <f t="shared" si="5"/>
        <v>5.0329380764163375E-5</v>
      </c>
      <c r="F97" s="22">
        <v>230.6</v>
      </c>
      <c r="G97" s="26">
        <f t="shared" si="6"/>
        <v>3.0115680652839096E-19</v>
      </c>
    </row>
    <row r="98" spans="1:7" ht="19.8" customHeight="1" x14ac:dyDescent="0.3">
      <c r="A98" s="9" t="e">
        <f xml:space="preserve"> A97+1</f>
        <v>#REF!</v>
      </c>
      <c r="B98" s="36">
        <v>1</v>
      </c>
      <c r="C98" s="10">
        <f t="shared" si="7"/>
        <v>3.8200000000000002E-4</v>
      </c>
      <c r="D98" s="21">
        <v>7.25</v>
      </c>
      <c r="E98" s="26">
        <f t="shared" si="5"/>
        <v>5.2689655172413795E-5</v>
      </c>
      <c r="F98" s="22">
        <v>245</v>
      </c>
      <c r="G98" s="26">
        <f t="shared" si="6"/>
        <v>3.0362781607464198E-19</v>
      </c>
    </row>
    <row r="99" spans="1:7" ht="19.8" customHeight="1" x14ac:dyDescent="0.3">
      <c r="A99" s="9" t="e">
        <f t="shared" si="4"/>
        <v>#REF!</v>
      </c>
      <c r="B99" s="36">
        <v>5</v>
      </c>
      <c r="C99" s="10">
        <f t="shared" si="7"/>
        <v>1.91E-3</v>
      </c>
      <c r="D99" s="21">
        <v>47.62</v>
      </c>
      <c r="E99" s="26">
        <f t="shared" si="5"/>
        <v>4.0109197816043682E-5</v>
      </c>
      <c r="F99" s="22">
        <v>160.4</v>
      </c>
      <c r="G99" s="26">
        <f t="shared" si="6"/>
        <v>3.0802162378367452E-19</v>
      </c>
    </row>
    <row r="100" spans="1:7" ht="19.8" customHeight="1" thickBot="1" x14ac:dyDescent="0.35">
      <c r="A100" s="15" t="e">
        <f t="shared" si="4"/>
        <v>#REF!</v>
      </c>
      <c r="B100" s="37">
        <v>2</v>
      </c>
      <c r="C100" s="16">
        <f t="shared" si="7"/>
        <v>7.6400000000000003E-4</v>
      </c>
      <c r="D100" s="21">
        <v>13.17</v>
      </c>
      <c r="E100" s="17">
        <f t="shared" si="5"/>
        <v>5.8010630220197421E-5</v>
      </c>
      <c r="F100" s="22">
        <v>284.3</v>
      </c>
      <c r="G100" s="17">
        <f t="shared" si="6"/>
        <v>3.0227631654900422E-19</v>
      </c>
    </row>
    <row r="101" spans="1:7" ht="19.8" customHeight="1" x14ac:dyDescent="0.3">
      <c r="A101" s="7" t="e">
        <f t="shared" si="4"/>
        <v>#REF!</v>
      </c>
      <c r="B101" s="35">
        <v>1</v>
      </c>
      <c r="C101" s="8">
        <f t="shared" si="7"/>
        <v>3.8200000000000002E-4</v>
      </c>
      <c r="D101" s="21">
        <v>6.3</v>
      </c>
      <c r="E101" s="28">
        <f t="shared" si="5"/>
        <v>6.0634920634920636E-5</v>
      </c>
      <c r="F101" s="22">
        <v>322</v>
      </c>
      <c r="G101" s="28">
        <f t="shared" si="6"/>
        <v>2.851989709396759E-19</v>
      </c>
    </row>
    <row r="102" spans="1:7" ht="19.8" customHeight="1" x14ac:dyDescent="0.3">
      <c r="A102" s="9" t="e">
        <f t="shared" si="4"/>
        <v>#REF!</v>
      </c>
      <c r="B102" s="36">
        <v>1</v>
      </c>
      <c r="C102" s="10">
        <f t="shared" si="7"/>
        <v>3.8200000000000002E-4</v>
      </c>
      <c r="D102" s="21">
        <v>3.78</v>
      </c>
      <c r="E102" s="26">
        <f t="shared" si="5"/>
        <v>1.0105820105820107E-4</v>
      </c>
      <c r="F102" s="22">
        <v>299.3</v>
      </c>
      <c r="G102" s="26">
        <f t="shared" si="6"/>
        <v>6.6019196359498897E-19</v>
      </c>
    </row>
    <row r="103" spans="1:7" s="14" customFormat="1" ht="19.8" customHeight="1" x14ac:dyDescent="0.3">
      <c r="A103" s="9" t="e">
        <f t="shared" si="4"/>
        <v>#REF!</v>
      </c>
      <c r="B103" s="36">
        <v>1</v>
      </c>
      <c r="C103" s="10">
        <f t="shared" si="7"/>
        <v>3.8200000000000002E-4</v>
      </c>
      <c r="D103" s="21">
        <v>2.98</v>
      </c>
      <c r="E103" s="26">
        <f t="shared" si="5"/>
        <v>1.2818791946308725E-4</v>
      </c>
      <c r="F103" s="22">
        <v>350.7</v>
      </c>
      <c r="G103" s="26">
        <f t="shared" si="6"/>
        <v>8.0492327961144201E-19</v>
      </c>
    </row>
    <row r="104" spans="1:7" s="13" customFormat="1" ht="19.8" customHeight="1" x14ac:dyDescent="0.3">
      <c r="A104" s="9" t="e">
        <f t="shared" si="4"/>
        <v>#REF!</v>
      </c>
      <c r="B104" s="36">
        <v>1</v>
      </c>
      <c r="C104" s="10">
        <f t="shared" si="7"/>
        <v>3.8200000000000002E-4</v>
      </c>
      <c r="D104" s="21">
        <v>3.02</v>
      </c>
      <c r="E104" s="26">
        <f t="shared" si="5"/>
        <v>1.2649006622516556E-4</v>
      </c>
      <c r="F104" s="22">
        <v>350.7</v>
      </c>
      <c r="G104" s="26">
        <f t="shared" si="6"/>
        <v>7.8898449700940419E-19</v>
      </c>
    </row>
    <row r="105" spans="1:7" s="14" customFormat="1" ht="19.8" customHeight="1" x14ac:dyDescent="0.3">
      <c r="A105" s="9" t="e">
        <f t="shared" si="4"/>
        <v>#REF!</v>
      </c>
      <c r="B105" s="36">
        <v>1</v>
      </c>
      <c r="C105" s="10">
        <f t="shared" si="7"/>
        <v>3.8200000000000002E-4</v>
      </c>
      <c r="D105" s="21">
        <v>4.21</v>
      </c>
      <c r="E105" s="26">
        <f t="shared" si="5"/>
        <v>9.0736342042755345E-5</v>
      </c>
      <c r="F105" s="22">
        <v>244.4</v>
      </c>
      <c r="G105" s="26">
        <f t="shared" si="6"/>
        <v>6.8784455652967372E-19</v>
      </c>
    </row>
    <row r="106" spans="1:7" s="14" customFormat="1" ht="19.8" customHeight="1" x14ac:dyDescent="0.3">
      <c r="A106" s="9" t="e">
        <f t="shared" si="4"/>
        <v>#REF!</v>
      </c>
      <c r="B106" s="36">
        <v>1</v>
      </c>
      <c r="C106" s="10">
        <f t="shared" si="7"/>
        <v>3.8200000000000002E-4</v>
      </c>
      <c r="D106" s="21">
        <v>6.3</v>
      </c>
      <c r="E106" s="26">
        <f t="shared" si="5"/>
        <v>6.0634920634920636E-5</v>
      </c>
      <c r="F106" s="22">
        <v>53.8</v>
      </c>
      <c r="G106" s="26">
        <f t="shared" si="6"/>
        <v>1.7069529487467593E-18</v>
      </c>
    </row>
    <row r="107" spans="1:7" s="14" customFormat="1" ht="19.8" customHeight="1" x14ac:dyDescent="0.3">
      <c r="A107" s="9" t="e">
        <f t="shared" si="4"/>
        <v>#REF!</v>
      </c>
      <c r="B107" s="36">
        <v>1</v>
      </c>
      <c r="C107" s="10">
        <f t="shared" si="7"/>
        <v>3.8200000000000002E-4</v>
      </c>
      <c r="D107" s="21">
        <v>2.86</v>
      </c>
      <c r="E107" s="26">
        <f t="shared" si="5"/>
        <v>1.3356643356643357E-4</v>
      </c>
      <c r="F107" s="22">
        <v>158.30000000000001</v>
      </c>
      <c r="G107" s="26">
        <f t="shared" si="6"/>
        <v>1.8966390388481107E-18</v>
      </c>
    </row>
    <row r="108" spans="1:7" s="14" customFormat="1" ht="19.8" customHeight="1" x14ac:dyDescent="0.3">
      <c r="A108" s="9" t="e">
        <f t="shared" si="4"/>
        <v>#REF!</v>
      </c>
      <c r="B108" s="36">
        <v>1</v>
      </c>
      <c r="C108" s="10">
        <f t="shared" si="7"/>
        <v>3.8200000000000002E-4</v>
      </c>
      <c r="D108" s="21">
        <v>2.16</v>
      </c>
      <c r="E108" s="26">
        <f t="shared" si="5"/>
        <v>1.7685185185185184E-4</v>
      </c>
      <c r="F108" s="22">
        <v>219.8</v>
      </c>
      <c r="G108" s="26">
        <f t="shared" si="6"/>
        <v>2.081164145475554E-18</v>
      </c>
    </row>
    <row r="109" spans="1:7" s="14" customFormat="1" ht="19.8" customHeight="1" x14ac:dyDescent="0.3">
      <c r="A109" s="9" t="e">
        <f t="shared" si="4"/>
        <v>#REF!</v>
      </c>
      <c r="B109" s="36">
        <v>1</v>
      </c>
      <c r="C109" s="10">
        <f t="shared" si="7"/>
        <v>3.8200000000000002E-4</v>
      </c>
      <c r="D109" s="21">
        <v>9.16</v>
      </c>
      <c r="E109" s="26">
        <f t="shared" si="5"/>
        <v>4.1703056768558953E-5</v>
      </c>
      <c r="F109" s="22">
        <v>136.30000000000001</v>
      </c>
      <c r="G109" s="26">
        <f t="shared" si="6"/>
        <v>3.8430460073879024E-19</v>
      </c>
    </row>
    <row r="110" spans="1:7" s="14" customFormat="1" ht="19.8" customHeight="1" x14ac:dyDescent="0.3">
      <c r="A110" s="9" t="e">
        <f t="shared" si="4"/>
        <v>#REF!</v>
      </c>
      <c r="B110" s="36">
        <v>1</v>
      </c>
      <c r="C110" s="10">
        <f t="shared" si="7"/>
        <v>3.8200000000000002E-4</v>
      </c>
      <c r="D110" s="21">
        <v>9.1</v>
      </c>
      <c r="E110" s="26">
        <f t="shared" si="5"/>
        <v>4.1978021978021979E-5</v>
      </c>
      <c r="F110" s="22">
        <v>108.9</v>
      </c>
      <c r="G110" s="26">
        <f t="shared" si="6"/>
        <v>4.8576327936615838E-19</v>
      </c>
    </row>
    <row r="111" spans="1:7" s="14" customFormat="1" ht="19.8" customHeight="1" x14ac:dyDescent="0.3">
      <c r="A111" s="9" t="e">
        <f t="shared" si="4"/>
        <v>#REF!</v>
      </c>
      <c r="B111" s="36">
        <v>1</v>
      </c>
      <c r="C111" s="10">
        <f t="shared" si="7"/>
        <v>3.8200000000000002E-4</v>
      </c>
      <c r="D111" s="21">
        <v>6</v>
      </c>
      <c r="E111" s="26">
        <f t="shared" si="5"/>
        <v>6.3666666666666665E-5</v>
      </c>
      <c r="F111" s="22">
        <v>266.60000000000002</v>
      </c>
      <c r="G111" s="26">
        <f t="shared" si="6"/>
        <v>3.7061895687139336E-19</v>
      </c>
    </row>
    <row r="112" spans="1:7" s="14" customFormat="1" ht="19.8" customHeight="1" x14ac:dyDescent="0.3">
      <c r="A112" s="9" t="e">
        <f t="shared" si="4"/>
        <v>#REF!</v>
      </c>
      <c r="B112" s="36">
        <v>1</v>
      </c>
      <c r="C112" s="10">
        <f t="shared" si="7"/>
        <v>3.8200000000000002E-4</v>
      </c>
      <c r="D112" s="21">
        <v>5.2</v>
      </c>
      <c r="E112" s="26">
        <f t="shared" si="5"/>
        <v>7.3461538461538467E-5</v>
      </c>
      <c r="F112" s="22">
        <v>258.8</v>
      </c>
      <c r="G112" s="26">
        <f t="shared" si="6"/>
        <v>4.7320068276010004E-19</v>
      </c>
    </row>
    <row r="113" spans="1:7" s="14" customFormat="1" ht="19.8" customHeight="1" x14ac:dyDescent="0.3">
      <c r="A113" s="9" t="e">
        <f t="shared" si="4"/>
        <v>#REF!</v>
      </c>
      <c r="B113" s="36">
        <v>1</v>
      </c>
      <c r="C113" s="10">
        <f t="shared" si="7"/>
        <v>3.8200000000000002E-4</v>
      </c>
      <c r="D113" s="21">
        <v>2.96</v>
      </c>
      <c r="E113" s="26">
        <f t="shared" si="5"/>
        <v>1.2905405405405407E-4</v>
      </c>
      <c r="F113" s="22">
        <v>258</v>
      </c>
      <c r="G113" s="26">
        <f t="shared" si="6"/>
        <v>1.1052419934172254E-18</v>
      </c>
    </row>
    <row r="114" spans="1:7" s="14" customFormat="1" ht="19.8" customHeight="1" x14ac:dyDescent="0.3">
      <c r="A114" s="9" t="e">
        <f t="shared" si="4"/>
        <v>#REF!</v>
      </c>
      <c r="B114" s="36">
        <v>1</v>
      </c>
      <c r="C114" s="10">
        <f t="shared" si="7"/>
        <v>3.8200000000000002E-4</v>
      </c>
      <c r="D114" s="21">
        <v>4.84</v>
      </c>
      <c r="E114" s="26">
        <f t="shared" si="5"/>
        <v>7.8925619834710746E-5</v>
      </c>
      <c r="F114" s="22">
        <v>205.9</v>
      </c>
      <c r="G114" s="26">
        <f t="shared" si="6"/>
        <v>6.6235414878233118E-19</v>
      </c>
    </row>
    <row r="115" spans="1:7" s="14" customFormat="1" ht="19.8" customHeight="1" x14ac:dyDescent="0.3">
      <c r="A115" s="9" t="e">
        <f t="shared" ref="A115:A150" si="8" xml:space="preserve"> A114+1</f>
        <v>#REF!</v>
      </c>
      <c r="B115" s="36">
        <v>1</v>
      </c>
      <c r="C115" s="10">
        <f t="shared" si="7"/>
        <v>3.8200000000000002E-4</v>
      </c>
      <c r="D115" s="21">
        <v>3</v>
      </c>
      <c r="E115" s="26">
        <f t="shared" si="5"/>
        <v>1.2733333333333333E-4</v>
      </c>
      <c r="F115" s="22">
        <v>278.2</v>
      </c>
      <c r="G115" s="26">
        <f t="shared" si="6"/>
        <v>1.0045594472873698E-18</v>
      </c>
    </row>
    <row r="116" spans="1:7" s="14" customFormat="1" ht="19.8" customHeight="1" x14ac:dyDescent="0.3">
      <c r="A116" s="9" t="e">
        <f t="shared" si="8"/>
        <v>#REF!</v>
      </c>
      <c r="B116" s="36">
        <v>1</v>
      </c>
      <c r="C116" s="10">
        <f t="shared" si="7"/>
        <v>3.8200000000000002E-4</v>
      </c>
      <c r="D116" s="21">
        <v>5.86</v>
      </c>
      <c r="E116" s="26">
        <f t="shared" si="5"/>
        <v>6.518771331058021E-5</v>
      </c>
      <c r="F116" s="22">
        <v>246.3</v>
      </c>
      <c r="G116" s="26">
        <f t="shared" si="6"/>
        <v>4.1562705903145463E-19</v>
      </c>
    </row>
    <row r="117" spans="1:7" s="14" customFormat="1" ht="19.8" customHeight="1" x14ac:dyDescent="0.3">
      <c r="A117" s="9" t="e">
        <f t="shared" si="8"/>
        <v>#REF!</v>
      </c>
      <c r="B117" s="36">
        <v>1</v>
      </c>
      <c r="C117" s="10">
        <f t="shared" si="7"/>
        <v>3.8200000000000002E-4</v>
      </c>
      <c r="D117" s="21">
        <v>5.58</v>
      </c>
      <c r="E117" s="26">
        <f t="shared" si="5"/>
        <v>6.8458781362007174E-5</v>
      </c>
      <c r="F117" s="22">
        <v>234.1</v>
      </c>
      <c r="G117" s="26">
        <f t="shared" si="6"/>
        <v>4.7061085243803539E-19</v>
      </c>
    </row>
    <row r="118" spans="1:7" s="14" customFormat="1" ht="19.8" customHeight="1" x14ac:dyDescent="0.3">
      <c r="A118" s="9" t="e">
        <f t="shared" si="8"/>
        <v>#REF!</v>
      </c>
      <c r="B118" s="36">
        <v>1</v>
      </c>
      <c r="C118" s="10">
        <f t="shared" si="7"/>
        <v>3.8200000000000002E-4</v>
      </c>
      <c r="D118" s="21">
        <v>9.5</v>
      </c>
      <c r="E118" s="26">
        <f t="shared" si="5"/>
        <v>4.0210526315789477E-5</v>
      </c>
      <c r="F118" s="22">
        <v>308.39999999999998</v>
      </c>
      <c r="G118" s="26">
        <f t="shared" si="6"/>
        <v>1.6081067419790348E-19</v>
      </c>
    </row>
    <row r="119" spans="1:7" s="14" customFormat="1" ht="19.8" customHeight="1" x14ac:dyDescent="0.3">
      <c r="A119" s="9" t="e">
        <f t="shared" si="8"/>
        <v>#REF!</v>
      </c>
      <c r="B119" s="36">
        <v>1</v>
      </c>
      <c r="C119" s="10">
        <f t="shared" si="7"/>
        <v>3.8200000000000002E-4</v>
      </c>
      <c r="D119" s="21">
        <v>4.25</v>
      </c>
      <c r="E119" s="26">
        <f t="shared" si="5"/>
        <v>8.9882352941176479E-5</v>
      </c>
      <c r="F119" s="22">
        <v>226.5</v>
      </c>
      <c r="G119" s="26">
        <f t="shared" si="6"/>
        <v>7.3175053495978284E-19</v>
      </c>
    </row>
    <row r="120" spans="1:7" s="14" customFormat="1" ht="19.8" customHeight="1" x14ac:dyDescent="0.3">
      <c r="A120" s="9" t="e">
        <f t="shared" si="8"/>
        <v>#REF!</v>
      </c>
      <c r="B120" s="36">
        <v>1</v>
      </c>
      <c r="C120" s="10">
        <f t="shared" si="7"/>
        <v>3.8200000000000002E-4</v>
      </c>
      <c r="D120" s="21">
        <v>8</v>
      </c>
      <c r="E120" s="26">
        <f t="shared" si="5"/>
        <v>4.7750000000000002E-5</v>
      </c>
      <c r="F120" s="22">
        <v>239.1</v>
      </c>
      <c r="G120" s="26">
        <f t="shared" si="6"/>
        <v>2.684108660951675E-19</v>
      </c>
    </row>
    <row r="121" spans="1:7" s="14" customFormat="1" ht="19.8" customHeight="1" x14ac:dyDescent="0.3">
      <c r="A121" s="9" t="e">
        <f t="shared" si="8"/>
        <v>#REF!</v>
      </c>
      <c r="B121" s="36">
        <v>1</v>
      </c>
      <c r="C121" s="10">
        <f t="shared" si="7"/>
        <v>3.8200000000000002E-4</v>
      </c>
      <c r="D121" s="21">
        <v>13.4</v>
      </c>
      <c r="E121" s="26">
        <f t="shared" si="5"/>
        <v>2.8507462686567164E-5</v>
      </c>
      <c r="F121" s="22">
        <v>174.2</v>
      </c>
      <c r="G121" s="26">
        <f t="shared" si="6"/>
        <v>1.6994535617502908E-19</v>
      </c>
    </row>
    <row r="122" spans="1:7" s="14" customFormat="1" ht="19.8" customHeight="1" x14ac:dyDescent="0.3">
      <c r="A122" s="9" t="e">
        <f t="shared" si="8"/>
        <v>#REF!</v>
      </c>
      <c r="B122" s="36">
        <v>1</v>
      </c>
      <c r="C122" s="10">
        <f t="shared" si="7"/>
        <v>3.8200000000000002E-4</v>
      </c>
      <c r="D122" s="21">
        <v>10</v>
      </c>
      <c r="E122" s="26">
        <f t="shared" si="5"/>
        <v>3.82E-5</v>
      </c>
      <c r="F122" s="22">
        <v>182.7</v>
      </c>
      <c r="G122" s="26">
        <f t="shared" si="6"/>
        <v>2.5134838708085134E-19</v>
      </c>
    </row>
    <row r="123" spans="1:7" s="14" customFormat="1" ht="19.8" customHeight="1" x14ac:dyDescent="0.3">
      <c r="A123" s="9" t="e">
        <f t="shared" si="8"/>
        <v>#REF!</v>
      </c>
      <c r="B123" s="36">
        <v>1</v>
      </c>
      <c r="C123" s="10">
        <f t="shared" si="7"/>
        <v>3.8200000000000002E-4</v>
      </c>
      <c r="D123" s="21">
        <v>4</v>
      </c>
      <c r="E123" s="26">
        <f t="shared" si="5"/>
        <v>9.5500000000000004E-5</v>
      </c>
      <c r="F123" s="22">
        <v>297.60000000000002</v>
      </c>
      <c r="G123" s="26">
        <f t="shared" si="6"/>
        <v>6.0994648958612042E-19</v>
      </c>
    </row>
    <row r="124" spans="1:7" s="14" customFormat="1" ht="19.8" customHeight="1" x14ac:dyDescent="0.3">
      <c r="A124" s="9" t="e">
        <f t="shared" si="8"/>
        <v>#REF!</v>
      </c>
      <c r="B124" s="36">
        <v>1</v>
      </c>
      <c r="C124" s="10">
        <f t="shared" si="7"/>
        <v>3.8200000000000002E-4</v>
      </c>
      <c r="D124" s="21">
        <v>5.0999999999999996</v>
      </c>
      <c r="E124" s="26">
        <f t="shared" si="5"/>
        <v>7.4901960784313728E-5</v>
      </c>
      <c r="F124" s="22">
        <v>263.39999999999998</v>
      </c>
      <c r="G124" s="26">
        <f t="shared" si="6"/>
        <v>4.7867816252258842E-19</v>
      </c>
    </row>
    <row r="125" spans="1:7" s="14" customFormat="1" ht="19.8" customHeight="1" thickBot="1" x14ac:dyDescent="0.35">
      <c r="A125" s="9" t="e">
        <f t="shared" si="8"/>
        <v>#REF!</v>
      </c>
      <c r="B125" s="36">
        <v>1</v>
      </c>
      <c r="C125" s="10">
        <f t="shared" si="7"/>
        <v>3.8200000000000002E-4</v>
      </c>
      <c r="D125" s="18">
        <v>4.05</v>
      </c>
      <c r="E125" s="26">
        <f t="shared" si="5"/>
        <v>9.432098765432099E-5</v>
      </c>
      <c r="F125" s="23">
        <v>187.4</v>
      </c>
      <c r="G125" s="26">
        <f t="shared" si="6"/>
        <v>9.507416692588579E-19</v>
      </c>
    </row>
    <row r="126" spans="1:7" s="14" customFormat="1" ht="19.8" customHeight="1" thickTop="1" x14ac:dyDescent="0.3">
      <c r="A126" s="9" t="e">
        <f t="shared" si="8"/>
        <v>#REF!</v>
      </c>
      <c r="B126" s="36">
        <v>1</v>
      </c>
      <c r="C126" s="10">
        <f t="shared" si="7"/>
        <v>3.8200000000000002E-4</v>
      </c>
      <c r="D126" s="19">
        <v>5.5</v>
      </c>
      <c r="E126" s="26">
        <f t="shared" si="5"/>
        <v>6.9454545454545452E-5</v>
      </c>
      <c r="F126" s="24">
        <v>157.30000000000001</v>
      </c>
      <c r="G126" s="26">
        <f t="shared" si="6"/>
        <v>7.1571792335777507E-19</v>
      </c>
    </row>
    <row r="127" spans="1:7" s="14" customFormat="1" ht="19.8" customHeight="1" x14ac:dyDescent="0.3">
      <c r="A127" s="9" t="e">
        <f t="shared" si="8"/>
        <v>#REF!</v>
      </c>
      <c r="B127" s="36">
        <v>1</v>
      </c>
      <c r="C127" s="10">
        <f t="shared" si="7"/>
        <v>3.8200000000000002E-4</v>
      </c>
      <c r="D127" s="21">
        <v>10</v>
      </c>
      <c r="E127" s="26">
        <f t="shared" si="5"/>
        <v>3.82E-5</v>
      </c>
      <c r="F127" s="22">
        <v>193.7</v>
      </c>
      <c r="G127" s="26">
        <f t="shared" si="6"/>
        <v>2.3707460154709103E-19</v>
      </c>
    </row>
    <row r="128" spans="1:7" s="14" customFormat="1" ht="19.8" customHeight="1" x14ac:dyDescent="0.3">
      <c r="A128" s="9" t="e">
        <f t="shared" si="8"/>
        <v>#REF!</v>
      </c>
      <c r="B128" s="36">
        <v>1</v>
      </c>
      <c r="C128" s="10">
        <f t="shared" si="7"/>
        <v>3.8200000000000002E-4</v>
      </c>
      <c r="D128" s="21">
        <v>6.5</v>
      </c>
      <c r="E128" s="26">
        <f t="shared" si="5"/>
        <v>5.8769230769230771E-5</v>
      </c>
      <c r="F128" s="22">
        <v>181.9</v>
      </c>
      <c r="G128" s="26">
        <f t="shared" si="6"/>
        <v>4.817391211467433E-19</v>
      </c>
    </row>
    <row r="129" spans="1:7" s="14" customFormat="1" ht="19.8" customHeight="1" x14ac:dyDescent="0.3">
      <c r="A129" s="9" t="e">
        <f t="shared" si="8"/>
        <v>#REF!</v>
      </c>
      <c r="B129" s="36">
        <v>1</v>
      </c>
      <c r="C129" s="10">
        <f t="shared" si="7"/>
        <v>3.8200000000000002E-4</v>
      </c>
      <c r="D129" s="21">
        <v>8</v>
      </c>
      <c r="E129" s="26">
        <f t="shared" si="5"/>
        <v>4.7750000000000002E-5</v>
      </c>
      <c r="F129" s="22">
        <v>292.3</v>
      </c>
      <c r="G129" s="26">
        <f t="shared" si="6"/>
        <v>2.1955880288523623E-19</v>
      </c>
    </row>
    <row r="130" spans="1:7" s="14" customFormat="1" ht="19.8" customHeight="1" x14ac:dyDescent="0.3">
      <c r="A130" s="9" t="e">
        <f t="shared" si="8"/>
        <v>#REF!</v>
      </c>
      <c r="B130" s="36">
        <v>1</v>
      </c>
      <c r="C130" s="10">
        <f t="shared" si="7"/>
        <v>3.8200000000000002E-4</v>
      </c>
      <c r="D130" s="21">
        <v>10</v>
      </c>
      <c r="E130" s="26">
        <f t="shared" ref="E130:E150" si="9" xml:space="preserve"> C130/D130</f>
        <v>3.82E-5</v>
      </c>
      <c r="F130" s="22">
        <v>301.5</v>
      </c>
      <c r="G130" s="26">
        <f t="shared" ref="G130:G150" si="10" xml:space="preserve"> 1.945*10^-10*E130^1.5/F130</f>
        <v>1.5230961963406811E-19</v>
      </c>
    </row>
    <row r="131" spans="1:7" s="14" customFormat="1" ht="19.8" customHeight="1" x14ac:dyDescent="0.3">
      <c r="A131" s="9" t="e">
        <f t="shared" si="8"/>
        <v>#REF!</v>
      </c>
      <c r="B131" s="36">
        <v>1</v>
      </c>
      <c r="C131" s="10">
        <f t="shared" ref="C131:C150" si="11">B131*0.000382</f>
        <v>3.8200000000000002E-4</v>
      </c>
      <c r="D131" s="21">
        <v>4</v>
      </c>
      <c r="E131" s="26">
        <f t="shared" si="9"/>
        <v>9.5500000000000004E-5</v>
      </c>
      <c r="F131" s="22">
        <v>179.2</v>
      </c>
      <c r="G131" s="26">
        <f t="shared" si="10"/>
        <v>1.0129468487769501E-18</v>
      </c>
    </row>
    <row r="132" spans="1:7" s="14" customFormat="1" ht="19.8" customHeight="1" x14ac:dyDescent="0.3">
      <c r="A132" s="9" t="e">
        <f t="shared" si="8"/>
        <v>#REF!</v>
      </c>
      <c r="B132" s="36">
        <v>1</v>
      </c>
      <c r="C132" s="10">
        <f t="shared" si="11"/>
        <v>3.8200000000000002E-4</v>
      </c>
      <c r="D132" s="21">
        <v>9.6</v>
      </c>
      <c r="E132" s="26">
        <f t="shared" si="9"/>
        <v>3.9791666666666667E-5</v>
      </c>
      <c r="F132" s="22">
        <v>237.5</v>
      </c>
      <c r="G132" s="26">
        <f t="shared" si="10"/>
        <v>2.0556263995392659E-19</v>
      </c>
    </row>
    <row r="133" spans="1:7" s="14" customFormat="1" ht="19.8" customHeight="1" x14ac:dyDescent="0.3">
      <c r="A133" s="9" t="e">
        <f t="shared" si="8"/>
        <v>#REF!</v>
      </c>
      <c r="B133" s="36">
        <v>1</v>
      </c>
      <c r="C133" s="10">
        <f t="shared" si="11"/>
        <v>3.8200000000000002E-4</v>
      </c>
      <c r="D133" s="21">
        <v>6.6</v>
      </c>
      <c r="E133" s="26">
        <f t="shared" si="9"/>
        <v>5.7878787878787884E-5</v>
      </c>
      <c r="F133" s="22">
        <v>270.3</v>
      </c>
      <c r="G133" s="26">
        <f t="shared" si="10"/>
        <v>3.168492628074661E-19</v>
      </c>
    </row>
    <row r="134" spans="1:7" s="14" customFormat="1" ht="19.8" customHeight="1" x14ac:dyDescent="0.3">
      <c r="A134" s="9" t="e">
        <f t="shared" si="8"/>
        <v>#REF!</v>
      </c>
      <c r="B134" s="36">
        <v>1</v>
      </c>
      <c r="C134" s="10">
        <f t="shared" si="11"/>
        <v>3.8200000000000002E-4</v>
      </c>
      <c r="D134" s="21">
        <v>8.32</v>
      </c>
      <c r="E134" s="26">
        <f t="shared" si="9"/>
        <v>4.5913461538461542E-5</v>
      </c>
      <c r="F134" s="22">
        <v>208.7</v>
      </c>
      <c r="G134" s="26">
        <f t="shared" si="10"/>
        <v>2.8993938376588539E-19</v>
      </c>
    </row>
    <row r="135" spans="1:7" s="14" customFormat="1" ht="19.8" customHeight="1" x14ac:dyDescent="0.3">
      <c r="A135" s="9" t="e">
        <f t="shared" si="8"/>
        <v>#REF!</v>
      </c>
      <c r="B135" s="36">
        <v>1</v>
      </c>
      <c r="C135" s="10">
        <f t="shared" si="11"/>
        <v>3.8200000000000002E-4</v>
      </c>
      <c r="D135" s="21">
        <v>11</v>
      </c>
      <c r="E135" s="26">
        <f t="shared" si="9"/>
        <v>3.4727272727272726E-5</v>
      </c>
      <c r="F135" s="22">
        <v>247.8</v>
      </c>
      <c r="G135" s="26">
        <f t="shared" si="10"/>
        <v>1.6062913485012852E-19</v>
      </c>
    </row>
    <row r="136" spans="1:7" s="14" customFormat="1" ht="19.8" customHeight="1" x14ac:dyDescent="0.3">
      <c r="A136" s="9" t="e">
        <f t="shared" si="8"/>
        <v>#REF!</v>
      </c>
      <c r="B136" s="36">
        <v>1</v>
      </c>
      <c r="C136" s="10">
        <f t="shared" si="11"/>
        <v>3.8200000000000002E-4</v>
      </c>
      <c r="D136" s="21">
        <v>4.3499999999999996</v>
      </c>
      <c r="E136" s="26">
        <f t="shared" si="9"/>
        <v>8.7816091954022997E-5</v>
      </c>
      <c r="F136" s="22">
        <v>241.2</v>
      </c>
      <c r="G136" s="26">
        <f t="shared" si="10"/>
        <v>6.6359554403927559E-19</v>
      </c>
    </row>
    <row r="137" spans="1:7" s="14" customFormat="1" ht="19.8" customHeight="1" x14ac:dyDescent="0.3">
      <c r="A137" s="9" t="e">
        <f t="shared" si="8"/>
        <v>#REF!</v>
      </c>
      <c r="B137" s="36">
        <v>1</v>
      </c>
      <c r="C137" s="10">
        <f t="shared" si="11"/>
        <v>3.8200000000000002E-4</v>
      </c>
      <c r="D137" s="21">
        <v>6.4</v>
      </c>
      <c r="E137" s="26">
        <f t="shared" si="9"/>
        <v>5.9687500000000001E-5</v>
      </c>
      <c r="F137" s="22">
        <v>250.3</v>
      </c>
      <c r="G137" s="26">
        <f t="shared" si="10"/>
        <v>3.5833055270918245E-19</v>
      </c>
    </row>
    <row r="138" spans="1:7" s="14" customFormat="1" ht="19.8" customHeight="1" x14ac:dyDescent="0.3">
      <c r="A138" s="9" t="e">
        <f t="shared" si="8"/>
        <v>#REF!</v>
      </c>
      <c r="B138" s="36">
        <v>1</v>
      </c>
      <c r="C138" s="10">
        <f t="shared" si="11"/>
        <v>3.8200000000000002E-4</v>
      </c>
      <c r="D138" s="21">
        <v>9.31</v>
      </c>
      <c r="E138" s="26">
        <f t="shared" si="9"/>
        <v>4.1031149301825996E-5</v>
      </c>
      <c r="F138" s="22">
        <v>350.9</v>
      </c>
      <c r="G138" s="26">
        <f t="shared" si="10"/>
        <v>1.4568229025712554E-19</v>
      </c>
    </row>
    <row r="139" spans="1:7" s="14" customFormat="1" ht="19.8" customHeight="1" x14ac:dyDescent="0.3">
      <c r="A139" s="9" t="e">
        <f t="shared" si="8"/>
        <v>#REF!</v>
      </c>
      <c r="B139" s="36">
        <v>1</v>
      </c>
      <c r="C139" s="10">
        <f t="shared" si="11"/>
        <v>3.8200000000000002E-4</v>
      </c>
      <c r="D139" s="21">
        <v>5.7</v>
      </c>
      <c r="E139" s="26">
        <f t="shared" si="9"/>
        <v>6.7017543859649128E-5</v>
      </c>
      <c r="F139" s="22">
        <v>225.3</v>
      </c>
      <c r="G139" s="26">
        <f t="shared" si="10"/>
        <v>4.7363215033775086E-19</v>
      </c>
    </row>
    <row r="140" spans="1:7" s="14" customFormat="1" ht="19.8" customHeight="1" x14ac:dyDescent="0.3">
      <c r="A140" s="9" t="e">
        <f t="shared" si="8"/>
        <v>#REF!</v>
      </c>
      <c r="B140" s="36">
        <v>1</v>
      </c>
      <c r="C140" s="10">
        <f t="shared" si="11"/>
        <v>3.8200000000000002E-4</v>
      </c>
      <c r="D140" s="21">
        <v>10</v>
      </c>
      <c r="E140" s="26">
        <f t="shared" si="9"/>
        <v>3.82E-5</v>
      </c>
      <c r="F140" s="22">
        <v>210.6</v>
      </c>
      <c r="G140" s="26">
        <f t="shared" si="10"/>
        <v>2.1805009648467017E-19</v>
      </c>
    </row>
    <row r="141" spans="1:7" s="14" customFormat="1" ht="19.8" customHeight="1" x14ac:dyDescent="0.3">
      <c r="A141" s="9" t="e">
        <f t="shared" si="8"/>
        <v>#REF!</v>
      </c>
      <c r="B141" s="36">
        <v>1</v>
      </c>
      <c r="C141" s="10">
        <f t="shared" si="11"/>
        <v>3.8200000000000002E-4</v>
      </c>
      <c r="D141" s="21">
        <v>9.3000000000000007</v>
      </c>
      <c r="E141" s="26">
        <f t="shared" si="9"/>
        <v>4.1075268817204298E-5</v>
      </c>
      <c r="F141" s="22">
        <v>140.6</v>
      </c>
      <c r="G141" s="26">
        <f t="shared" si="10"/>
        <v>3.6417062082849997E-19</v>
      </c>
    </row>
    <row r="142" spans="1:7" s="1" customFormat="1" ht="19.8" customHeight="1" x14ac:dyDescent="0.3">
      <c r="A142" s="9" t="e">
        <f t="shared" si="8"/>
        <v>#REF!</v>
      </c>
      <c r="B142" s="36">
        <v>1</v>
      </c>
      <c r="C142" s="10">
        <f t="shared" si="11"/>
        <v>3.8200000000000002E-4</v>
      </c>
      <c r="D142" s="21">
        <v>10</v>
      </c>
      <c r="E142" s="26">
        <f t="shared" si="9"/>
        <v>3.82E-5</v>
      </c>
      <c r="F142" s="22">
        <v>164.2</v>
      </c>
      <c r="G142" s="26">
        <f t="shared" si="10"/>
        <v>2.796671761246744E-19</v>
      </c>
    </row>
    <row r="143" spans="1:7" s="1" customFormat="1" ht="19.8" customHeight="1" x14ac:dyDescent="0.3">
      <c r="A143" s="9" t="e">
        <f t="shared" si="8"/>
        <v>#REF!</v>
      </c>
      <c r="B143" s="36">
        <v>1</v>
      </c>
      <c r="C143" s="10">
        <f t="shared" si="11"/>
        <v>3.8200000000000002E-4</v>
      </c>
      <c r="D143" s="21">
        <v>6.46</v>
      </c>
      <c r="E143" s="26">
        <f t="shared" si="9"/>
        <v>5.9133126934984521E-5</v>
      </c>
      <c r="F143" s="22">
        <v>321.2</v>
      </c>
      <c r="G143" s="26">
        <f t="shared" si="10"/>
        <v>2.7535333216694829E-19</v>
      </c>
    </row>
    <row r="144" spans="1:7" s="1" customFormat="1" ht="19.8" customHeight="1" x14ac:dyDescent="0.3">
      <c r="A144" s="9" t="e">
        <f t="shared" si="8"/>
        <v>#REF!</v>
      </c>
      <c r="B144" s="36">
        <v>1</v>
      </c>
      <c r="C144" s="10">
        <f t="shared" si="11"/>
        <v>3.8200000000000002E-4</v>
      </c>
      <c r="D144" s="21">
        <v>8</v>
      </c>
      <c r="E144" s="26">
        <f t="shared" si="9"/>
        <v>4.7750000000000002E-5</v>
      </c>
      <c r="F144" s="22">
        <v>210.4</v>
      </c>
      <c r="G144" s="26">
        <f t="shared" si="10"/>
        <v>3.0502394526309194E-19</v>
      </c>
    </row>
    <row r="145" spans="1:7" s="1" customFormat="1" ht="19.8" customHeight="1" x14ac:dyDescent="0.3">
      <c r="A145" s="9" t="e">
        <f t="shared" si="8"/>
        <v>#REF!</v>
      </c>
      <c r="B145" s="36">
        <v>1</v>
      </c>
      <c r="C145" s="10">
        <f t="shared" si="11"/>
        <v>3.8200000000000002E-4</v>
      </c>
      <c r="D145" s="21">
        <v>4.5</v>
      </c>
      <c r="E145" s="26">
        <f t="shared" si="9"/>
        <v>8.4888888888888891E-5</v>
      </c>
      <c r="F145" s="22">
        <v>326.39999999999998</v>
      </c>
      <c r="G145" s="26">
        <f t="shared" si="10"/>
        <v>4.6606418361187064E-19</v>
      </c>
    </row>
    <row r="146" spans="1:7" s="14" customFormat="1" ht="19.8" customHeight="1" x14ac:dyDescent="0.3">
      <c r="A146" s="9" t="e">
        <f t="shared" si="8"/>
        <v>#REF!</v>
      </c>
      <c r="B146" s="36">
        <v>1</v>
      </c>
      <c r="C146" s="10">
        <f t="shared" si="11"/>
        <v>3.8200000000000002E-4</v>
      </c>
      <c r="D146" s="21">
        <v>3.85</v>
      </c>
      <c r="E146" s="26">
        <f t="shared" si="9"/>
        <v>9.9220779220779225E-5</v>
      </c>
      <c r="F146" s="22">
        <v>298.7</v>
      </c>
      <c r="G146" s="26">
        <f t="shared" si="10"/>
        <v>6.4355894811100184E-19</v>
      </c>
    </row>
    <row r="147" spans="1:7" s="14" customFormat="1" ht="19.8" customHeight="1" x14ac:dyDescent="0.3">
      <c r="A147" s="9" t="e">
        <f t="shared" si="8"/>
        <v>#REF!</v>
      </c>
      <c r="B147" s="36">
        <v>1</v>
      </c>
      <c r="C147" s="10">
        <f t="shared" si="11"/>
        <v>3.8200000000000002E-4</v>
      </c>
      <c r="D147" s="21">
        <v>3.3</v>
      </c>
      <c r="E147" s="26">
        <f t="shared" si="9"/>
        <v>1.1575757575757577E-4</v>
      </c>
      <c r="F147" s="22">
        <v>222.4</v>
      </c>
      <c r="G147" s="26">
        <f t="shared" si="10"/>
        <v>1.0892033221562125E-18</v>
      </c>
    </row>
    <row r="148" spans="1:7" s="14" customFormat="1" ht="19.8" customHeight="1" x14ac:dyDescent="0.3">
      <c r="A148" s="9" t="e">
        <f t="shared" si="8"/>
        <v>#REF!</v>
      </c>
      <c r="B148" s="36">
        <v>1</v>
      </c>
      <c r="C148" s="10">
        <f t="shared" si="11"/>
        <v>3.8200000000000002E-4</v>
      </c>
      <c r="D148" s="21">
        <v>3.81</v>
      </c>
      <c r="E148" s="26">
        <f t="shared" si="9"/>
        <v>1.0026246719160105E-4</v>
      </c>
      <c r="F148" s="22">
        <v>183.2</v>
      </c>
      <c r="G148" s="26">
        <f t="shared" si="10"/>
        <v>1.0658638115243007E-18</v>
      </c>
    </row>
    <row r="149" spans="1:7" s="14" customFormat="1" ht="19.8" customHeight="1" x14ac:dyDescent="0.3">
      <c r="A149" s="9" t="e">
        <f t="shared" si="8"/>
        <v>#REF!</v>
      </c>
      <c r="B149" s="36">
        <v>1</v>
      </c>
      <c r="C149" s="10">
        <f t="shared" si="11"/>
        <v>3.8200000000000002E-4</v>
      </c>
      <c r="D149" s="21">
        <v>4.3</v>
      </c>
      <c r="E149" s="26">
        <f t="shared" si="9"/>
        <v>8.8837209302325583E-5</v>
      </c>
      <c r="F149" s="22">
        <v>168.9</v>
      </c>
      <c r="G149" s="26">
        <f t="shared" si="10"/>
        <v>9.6423372457799757E-19</v>
      </c>
    </row>
    <row r="150" spans="1:7" s="13" customFormat="1" ht="19.8" customHeight="1" thickBot="1" x14ac:dyDescent="0.35">
      <c r="A150" s="20" t="e">
        <f t="shared" si="8"/>
        <v>#REF!</v>
      </c>
      <c r="B150" s="37">
        <v>1</v>
      </c>
      <c r="C150" s="16">
        <f t="shared" si="11"/>
        <v>3.8200000000000002E-4</v>
      </c>
      <c r="D150" s="21">
        <v>7.4</v>
      </c>
      <c r="E150" s="17">
        <f t="shared" si="9"/>
        <v>5.1621621621621621E-5</v>
      </c>
      <c r="F150" s="22">
        <v>155.5</v>
      </c>
      <c r="G150" s="17">
        <f t="shared" si="10"/>
        <v>4.6391314352911694E-19</v>
      </c>
    </row>
    <row r="151" spans="1:7" ht="19.8" customHeight="1" x14ac:dyDescent="0.3">
      <c r="A151" s="14"/>
    </row>
    <row r="152" spans="1:7" ht="19.8" customHeight="1" x14ac:dyDescent="0.3">
      <c r="A152" s="1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2025-03-14T01:38:59Z</dcterms:created>
  <dcterms:modified xsi:type="dcterms:W3CDTF">2026-03-21T16:11:25Z</dcterms:modified>
</cp:coreProperties>
</file>