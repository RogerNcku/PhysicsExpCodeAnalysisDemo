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大一下\普物實驗\實驗五\"/>
    </mc:Choice>
  </mc:AlternateContent>
  <xr:revisionPtr revIDLastSave="0" documentId="13_ncr:1_{D46FB165-7BA9-4A53-BD4D-D082F0D2D3C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" sheetId="4" r:id="rId1"/>
    <sheet name="A2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2" i="4" l="1"/>
  <c r="C31" i="4"/>
  <c r="E31" i="4" s="1"/>
  <c r="C151" i="5"/>
  <c r="E151" i="5" s="1"/>
  <c r="G151" i="5" s="1"/>
  <c r="C150" i="5"/>
  <c r="E150" i="5" s="1"/>
  <c r="G150" i="5" s="1"/>
  <c r="C149" i="5"/>
  <c r="E149" i="5" s="1"/>
  <c r="G149" i="5" s="1"/>
  <c r="C148" i="5"/>
  <c r="E148" i="5" s="1"/>
  <c r="G148" i="5" s="1"/>
  <c r="C147" i="5"/>
  <c r="E147" i="5" s="1"/>
  <c r="G147" i="5" s="1"/>
  <c r="C146" i="5"/>
  <c r="E146" i="5" s="1"/>
  <c r="G146" i="5" s="1"/>
  <c r="C145" i="5"/>
  <c r="E145" i="5" s="1"/>
  <c r="G145" i="5" s="1"/>
  <c r="C144" i="5"/>
  <c r="E144" i="5" s="1"/>
  <c r="G144" i="5" s="1"/>
  <c r="C143" i="5"/>
  <c r="E143" i="5" s="1"/>
  <c r="G143" i="5" s="1"/>
  <c r="C142" i="5"/>
  <c r="E142" i="5" s="1"/>
  <c r="G142" i="5" s="1"/>
  <c r="E141" i="5"/>
  <c r="G141" i="5" s="1"/>
  <c r="C141" i="5"/>
  <c r="C140" i="5"/>
  <c r="E140" i="5" s="1"/>
  <c r="G140" i="5" s="1"/>
  <c r="C139" i="5"/>
  <c r="E139" i="5" s="1"/>
  <c r="G139" i="5" s="1"/>
  <c r="C138" i="5"/>
  <c r="E138" i="5" s="1"/>
  <c r="G138" i="5" s="1"/>
  <c r="C137" i="5"/>
  <c r="E137" i="5" s="1"/>
  <c r="G137" i="5" s="1"/>
  <c r="C136" i="5"/>
  <c r="E136" i="5" s="1"/>
  <c r="G136" i="5" s="1"/>
  <c r="C135" i="5"/>
  <c r="E135" i="5" s="1"/>
  <c r="G135" i="5" s="1"/>
  <c r="C134" i="5"/>
  <c r="E134" i="5" s="1"/>
  <c r="G134" i="5" s="1"/>
  <c r="C133" i="5"/>
  <c r="E133" i="5" s="1"/>
  <c r="G133" i="5" s="1"/>
  <c r="C132" i="5"/>
  <c r="E132" i="5" s="1"/>
  <c r="G132" i="5" s="1"/>
  <c r="C131" i="5"/>
  <c r="E131" i="5" s="1"/>
  <c r="G131" i="5" s="1"/>
  <c r="C130" i="5"/>
  <c r="E130" i="5" s="1"/>
  <c r="G130" i="5" s="1"/>
  <c r="C129" i="5"/>
  <c r="E129" i="5" s="1"/>
  <c r="G129" i="5" s="1"/>
  <c r="C128" i="5"/>
  <c r="E128" i="5" s="1"/>
  <c r="G128" i="5" s="1"/>
  <c r="C127" i="5"/>
  <c r="E127" i="5" s="1"/>
  <c r="G127" i="5" s="1"/>
  <c r="C126" i="5"/>
  <c r="E126" i="5" s="1"/>
  <c r="G126" i="5" s="1"/>
  <c r="C125" i="5"/>
  <c r="E125" i="5" s="1"/>
  <c r="G125" i="5" s="1"/>
  <c r="C124" i="5"/>
  <c r="E124" i="5" s="1"/>
  <c r="G124" i="5" s="1"/>
  <c r="C123" i="5"/>
  <c r="E123" i="5" s="1"/>
  <c r="G123" i="5" s="1"/>
  <c r="C122" i="5"/>
  <c r="E122" i="5" s="1"/>
  <c r="G122" i="5" s="1"/>
  <c r="C121" i="5"/>
  <c r="E121" i="5" s="1"/>
  <c r="G121" i="5" s="1"/>
  <c r="C120" i="5"/>
  <c r="E120" i="5" s="1"/>
  <c r="G120" i="5" s="1"/>
  <c r="C119" i="5"/>
  <c r="E119" i="5" s="1"/>
  <c r="G119" i="5" s="1"/>
  <c r="C118" i="5"/>
  <c r="E118" i="5" s="1"/>
  <c r="G118" i="5" s="1"/>
  <c r="C117" i="5"/>
  <c r="E117" i="5" s="1"/>
  <c r="G117" i="5" s="1"/>
  <c r="C116" i="5"/>
  <c r="E116" i="5" s="1"/>
  <c r="G116" i="5" s="1"/>
  <c r="C115" i="5"/>
  <c r="E115" i="5" s="1"/>
  <c r="G115" i="5" s="1"/>
  <c r="C114" i="5"/>
  <c r="E114" i="5" s="1"/>
  <c r="G114" i="5" s="1"/>
  <c r="C113" i="5"/>
  <c r="E113" i="5" s="1"/>
  <c r="G113" i="5" s="1"/>
  <c r="C112" i="5"/>
  <c r="E112" i="5" s="1"/>
  <c r="G112" i="5" s="1"/>
  <c r="C111" i="5"/>
  <c r="E111" i="5" s="1"/>
  <c r="G111" i="5" s="1"/>
  <c r="C110" i="5"/>
  <c r="E110" i="5" s="1"/>
  <c r="G110" i="5" s="1"/>
  <c r="C109" i="5"/>
  <c r="E109" i="5" s="1"/>
  <c r="G109" i="5" s="1"/>
  <c r="C108" i="5"/>
  <c r="E108" i="5" s="1"/>
  <c r="G108" i="5" s="1"/>
  <c r="C107" i="5"/>
  <c r="E107" i="5" s="1"/>
  <c r="G107" i="5" s="1"/>
  <c r="C106" i="5"/>
  <c r="E106" i="5" s="1"/>
  <c r="G106" i="5" s="1"/>
  <c r="C105" i="5"/>
  <c r="E105" i="5" s="1"/>
  <c r="G105" i="5" s="1"/>
  <c r="C104" i="5"/>
  <c r="E104" i="5" s="1"/>
  <c r="G104" i="5" s="1"/>
  <c r="C103" i="5"/>
  <c r="E103" i="5" s="1"/>
  <c r="G103" i="5" s="1"/>
  <c r="C102" i="5"/>
  <c r="E102" i="5" s="1"/>
  <c r="G102" i="5" s="1"/>
  <c r="C101" i="5"/>
  <c r="E101" i="5" s="1"/>
  <c r="G101" i="5" s="1"/>
  <c r="C100" i="5"/>
  <c r="E100" i="5" s="1"/>
  <c r="G100" i="5" s="1"/>
  <c r="C99" i="5"/>
  <c r="E99" i="5" s="1"/>
  <c r="G99" i="5" s="1"/>
  <c r="C98" i="5"/>
  <c r="E98" i="5" s="1"/>
  <c r="G98" i="5" s="1"/>
  <c r="C97" i="5"/>
  <c r="E97" i="5" s="1"/>
  <c r="G97" i="5" s="1"/>
  <c r="C96" i="5"/>
  <c r="E96" i="5" s="1"/>
  <c r="G96" i="5" s="1"/>
  <c r="C95" i="5"/>
  <c r="E95" i="5" s="1"/>
  <c r="G95" i="5" s="1"/>
  <c r="C94" i="5"/>
  <c r="E94" i="5" s="1"/>
  <c r="G94" i="5" s="1"/>
  <c r="C93" i="5"/>
  <c r="E93" i="5" s="1"/>
  <c r="G93" i="5" s="1"/>
  <c r="C92" i="5"/>
  <c r="E92" i="5" s="1"/>
  <c r="G92" i="5" s="1"/>
  <c r="C91" i="5"/>
  <c r="E91" i="5" s="1"/>
  <c r="G91" i="5" s="1"/>
  <c r="C90" i="5"/>
  <c r="E90" i="5" s="1"/>
  <c r="G90" i="5" s="1"/>
  <c r="C89" i="5"/>
  <c r="E89" i="5" s="1"/>
  <c r="G89" i="5" s="1"/>
  <c r="C88" i="5"/>
  <c r="E88" i="5" s="1"/>
  <c r="G88" i="5" s="1"/>
  <c r="C87" i="5"/>
  <c r="E87" i="5" s="1"/>
  <c r="G87" i="5" s="1"/>
  <c r="C86" i="5"/>
  <c r="E86" i="5" s="1"/>
  <c r="G86" i="5" s="1"/>
  <c r="C85" i="5"/>
  <c r="E85" i="5" s="1"/>
  <c r="G85" i="5" s="1"/>
  <c r="C84" i="5"/>
  <c r="E84" i="5" s="1"/>
  <c r="G84" i="5" s="1"/>
  <c r="C83" i="5"/>
  <c r="E83" i="5" s="1"/>
  <c r="G83" i="5" s="1"/>
  <c r="C82" i="5"/>
  <c r="E82" i="5" s="1"/>
  <c r="G82" i="5" s="1"/>
  <c r="C81" i="5"/>
  <c r="E81" i="5" s="1"/>
  <c r="G81" i="5" s="1"/>
  <c r="C80" i="5"/>
  <c r="E80" i="5" s="1"/>
  <c r="G80" i="5" s="1"/>
  <c r="C79" i="5"/>
  <c r="E79" i="5" s="1"/>
  <c r="G79" i="5" s="1"/>
  <c r="C78" i="5"/>
  <c r="E78" i="5" s="1"/>
  <c r="G78" i="5" s="1"/>
  <c r="C77" i="5"/>
  <c r="E77" i="5" s="1"/>
  <c r="G77" i="5" s="1"/>
  <c r="C76" i="5"/>
  <c r="E76" i="5" s="1"/>
  <c r="G76" i="5" s="1"/>
  <c r="C75" i="5"/>
  <c r="E75" i="5" s="1"/>
  <c r="G75" i="5" s="1"/>
  <c r="C74" i="5"/>
  <c r="E74" i="5" s="1"/>
  <c r="G74" i="5" s="1"/>
  <c r="C73" i="5"/>
  <c r="E73" i="5" s="1"/>
  <c r="G73" i="5" s="1"/>
  <c r="C72" i="5"/>
  <c r="E72" i="5" s="1"/>
  <c r="G72" i="5" s="1"/>
  <c r="C71" i="5"/>
  <c r="E71" i="5" s="1"/>
  <c r="G71" i="5" s="1"/>
  <c r="C70" i="5"/>
  <c r="E70" i="5" s="1"/>
  <c r="G70" i="5" s="1"/>
  <c r="C69" i="5"/>
  <c r="E69" i="5" s="1"/>
  <c r="G69" i="5" s="1"/>
  <c r="C68" i="5"/>
  <c r="E68" i="5" s="1"/>
  <c r="G68" i="5" s="1"/>
  <c r="C67" i="5"/>
  <c r="E67" i="5" s="1"/>
  <c r="G67" i="5" s="1"/>
  <c r="C66" i="5"/>
  <c r="E66" i="5" s="1"/>
  <c r="G66" i="5" s="1"/>
  <c r="C65" i="5"/>
  <c r="E65" i="5" s="1"/>
  <c r="G65" i="5" s="1"/>
  <c r="C64" i="5"/>
  <c r="E64" i="5" s="1"/>
  <c r="G64" i="5" s="1"/>
  <c r="C63" i="5"/>
  <c r="E63" i="5" s="1"/>
  <c r="G63" i="5" s="1"/>
  <c r="C62" i="5"/>
  <c r="E62" i="5" s="1"/>
  <c r="G62" i="5" s="1"/>
  <c r="C61" i="5"/>
  <c r="E61" i="5" s="1"/>
  <c r="G61" i="5" s="1"/>
  <c r="C60" i="5"/>
  <c r="E60" i="5" s="1"/>
  <c r="G60" i="5" s="1"/>
  <c r="C59" i="5"/>
  <c r="E59" i="5" s="1"/>
  <c r="G59" i="5" s="1"/>
  <c r="C58" i="5"/>
  <c r="E58" i="5" s="1"/>
  <c r="G58" i="5" s="1"/>
  <c r="C57" i="5"/>
  <c r="E57" i="5" s="1"/>
  <c r="G57" i="5" s="1"/>
  <c r="C56" i="5"/>
  <c r="E56" i="5" s="1"/>
  <c r="G56" i="5" s="1"/>
  <c r="C55" i="5"/>
  <c r="E55" i="5" s="1"/>
  <c r="G55" i="5" s="1"/>
  <c r="C54" i="5"/>
  <c r="E54" i="5" s="1"/>
  <c r="G54" i="5" s="1"/>
  <c r="C53" i="5"/>
  <c r="E53" i="5" s="1"/>
  <c r="G53" i="5" s="1"/>
  <c r="C52" i="5"/>
  <c r="E52" i="5" s="1"/>
  <c r="G52" i="5" s="1"/>
  <c r="C51" i="5"/>
  <c r="E51" i="5" s="1"/>
  <c r="G51" i="5" s="1"/>
  <c r="C50" i="5"/>
  <c r="E50" i="5" s="1"/>
  <c r="G50" i="5" s="1"/>
  <c r="C49" i="5"/>
  <c r="E49" i="5" s="1"/>
  <c r="G49" i="5" s="1"/>
  <c r="C48" i="5"/>
  <c r="E48" i="5" s="1"/>
  <c r="G48" i="5" s="1"/>
  <c r="C47" i="5"/>
  <c r="E47" i="5" s="1"/>
  <c r="G47" i="5" s="1"/>
  <c r="C46" i="5"/>
  <c r="E46" i="5" s="1"/>
  <c r="G46" i="5" s="1"/>
  <c r="C45" i="5"/>
  <c r="E45" i="5" s="1"/>
  <c r="G45" i="5" s="1"/>
  <c r="C44" i="5"/>
  <c r="E44" i="5" s="1"/>
  <c r="G44" i="5" s="1"/>
  <c r="C43" i="5"/>
  <c r="E43" i="5" s="1"/>
  <c r="G43" i="5" s="1"/>
  <c r="C42" i="5"/>
  <c r="E42" i="5" s="1"/>
  <c r="G42" i="5" s="1"/>
  <c r="C41" i="5"/>
  <c r="E41" i="5" s="1"/>
  <c r="G41" i="5" s="1"/>
  <c r="C40" i="5"/>
  <c r="E40" i="5" s="1"/>
  <c r="G40" i="5" s="1"/>
  <c r="C39" i="5"/>
  <c r="E39" i="5" s="1"/>
  <c r="G39" i="5" s="1"/>
  <c r="C38" i="5"/>
  <c r="E38" i="5" s="1"/>
  <c r="G38" i="5" s="1"/>
  <c r="C37" i="5"/>
  <c r="E37" i="5" s="1"/>
  <c r="G37" i="5" s="1"/>
  <c r="C36" i="5"/>
  <c r="E36" i="5" s="1"/>
  <c r="G36" i="5" s="1"/>
  <c r="C35" i="5"/>
  <c r="E35" i="5" s="1"/>
  <c r="G35" i="5" s="1"/>
  <c r="C34" i="5"/>
  <c r="E34" i="5" s="1"/>
  <c r="G34" i="5" s="1"/>
  <c r="C33" i="5"/>
  <c r="E33" i="5" s="1"/>
  <c r="G33" i="5" s="1"/>
  <c r="C32" i="5"/>
  <c r="E32" i="5" s="1"/>
  <c r="G32" i="5" s="1"/>
  <c r="C31" i="5"/>
  <c r="E31" i="5" s="1"/>
  <c r="G31" i="5" s="1"/>
  <c r="C30" i="5"/>
  <c r="E30" i="5" s="1"/>
  <c r="G30" i="5" s="1"/>
  <c r="C29" i="5"/>
  <c r="E29" i="5" s="1"/>
  <c r="G29" i="5" s="1"/>
  <c r="C28" i="5"/>
  <c r="E28" i="5" s="1"/>
  <c r="G28" i="5" s="1"/>
  <c r="C27" i="5"/>
  <c r="E27" i="5" s="1"/>
  <c r="G27" i="5" s="1"/>
  <c r="C26" i="5"/>
  <c r="E26" i="5" s="1"/>
  <c r="G26" i="5" s="1"/>
  <c r="C25" i="5"/>
  <c r="E25" i="5" s="1"/>
  <c r="G25" i="5" s="1"/>
  <c r="C24" i="5"/>
  <c r="E24" i="5" s="1"/>
  <c r="G24" i="5" s="1"/>
  <c r="C23" i="5"/>
  <c r="E23" i="5" s="1"/>
  <c r="G23" i="5" s="1"/>
  <c r="C22" i="5"/>
  <c r="E22" i="5" s="1"/>
  <c r="G22" i="5" s="1"/>
  <c r="C21" i="5"/>
  <c r="E21" i="5" s="1"/>
  <c r="G21" i="5" s="1"/>
  <c r="C20" i="5"/>
  <c r="E20" i="5" s="1"/>
  <c r="G20" i="5" s="1"/>
  <c r="C19" i="5"/>
  <c r="E19" i="5" s="1"/>
  <c r="G19" i="5" s="1"/>
  <c r="C18" i="5"/>
  <c r="E18" i="5" s="1"/>
  <c r="G18" i="5" s="1"/>
  <c r="C17" i="5"/>
  <c r="E17" i="5" s="1"/>
  <c r="G17" i="5" s="1"/>
  <c r="C16" i="5"/>
  <c r="E16" i="5" s="1"/>
  <c r="G16" i="5" s="1"/>
  <c r="C15" i="5"/>
  <c r="E15" i="5" s="1"/>
  <c r="G15" i="5" s="1"/>
  <c r="C14" i="5"/>
  <c r="E14" i="5" s="1"/>
  <c r="G14" i="5" s="1"/>
  <c r="C13" i="5"/>
  <c r="E13" i="5" s="1"/>
  <c r="G13" i="5" s="1"/>
  <c r="C12" i="5"/>
  <c r="E12" i="5" s="1"/>
  <c r="G12" i="5" s="1"/>
  <c r="C11" i="5"/>
  <c r="E11" i="5" s="1"/>
  <c r="G11" i="5" s="1"/>
  <c r="C10" i="5"/>
  <c r="E10" i="5" s="1"/>
  <c r="G10" i="5" s="1"/>
  <c r="C9" i="5"/>
  <c r="E9" i="5" s="1"/>
  <c r="G9" i="5" s="1"/>
  <c r="C8" i="5"/>
  <c r="E8" i="5" s="1"/>
  <c r="G8" i="5" s="1"/>
  <c r="C7" i="5"/>
  <c r="E7" i="5" s="1"/>
  <c r="G7" i="5" s="1"/>
  <c r="C6" i="5"/>
  <c r="E6" i="5" s="1"/>
  <c r="G6" i="5" s="1"/>
  <c r="C5" i="5"/>
  <c r="E5" i="5" s="1"/>
  <c r="G5" i="5" s="1"/>
  <c r="C4" i="5"/>
  <c r="E4" i="5" s="1"/>
  <c r="G4" i="5" s="1"/>
  <c r="C3" i="5"/>
  <c r="E3" i="5" s="1"/>
  <c r="G3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I2" i="5"/>
  <c r="C2" i="5"/>
  <c r="E2" i="5" s="1"/>
  <c r="G2" i="5" s="1"/>
  <c r="J2" i="5" l="1"/>
  <c r="I3" i="5"/>
  <c r="I4" i="5" l="1"/>
  <c r="J3" i="5"/>
  <c r="C76" i="4"/>
  <c r="E76" i="4" s="1"/>
  <c r="G76" i="4" s="1"/>
  <c r="E123" i="4"/>
  <c r="G123" i="4" s="1"/>
  <c r="E128" i="4"/>
  <c r="G128" i="4" s="1"/>
  <c r="E129" i="4"/>
  <c r="G129" i="4" s="1"/>
  <c r="E130" i="4"/>
  <c r="G130" i="4" s="1"/>
  <c r="C113" i="4"/>
  <c r="E113" i="4" s="1"/>
  <c r="G113" i="4" s="1"/>
  <c r="C114" i="4"/>
  <c r="E114" i="4" s="1"/>
  <c r="G114" i="4" s="1"/>
  <c r="C115" i="4"/>
  <c r="E115" i="4" s="1"/>
  <c r="G115" i="4" s="1"/>
  <c r="C116" i="4"/>
  <c r="E116" i="4" s="1"/>
  <c r="G116" i="4" s="1"/>
  <c r="C117" i="4"/>
  <c r="E117" i="4" s="1"/>
  <c r="G117" i="4" s="1"/>
  <c r="C118" i="4"/>
  <c r="E118" i="4" s="1"/>
  <c r="G118" i="4" s="1"/>
  <c r="C119" i="4"/>
  <c r="E119" i="4" s="1"/>
  <c r="G119" i="4" s="1"/>
  <c r="C120" i="4"/>
  <c r="E120" i="4" s="1"/>
  <c r="G120" i="4" s="1"/>
  <c r="C121" i="4"/>
  <c r="E121" i="4" s="1"/>
  <c r="G121" i="4" s="1"/>
  <c r="C122" i="4"/>
  <c r="E122" i="4" s="1"/>
  <c r="G122" i="4" s="1"/>
  <c r="C123" i="4"/>
  <c r="C124" i="4"/>
  <c r="E124" i="4" s="1"/>
  <c r="G124" i="4" s="1"/>
  <c r="C125" i="4"/>
  <c r="E125" i="4" s="1"/>
  <c r="G125" i="4" s="1"/>
  <c r="C126" i="4"/>
  <c r="E126" i="4" s="1"/>
  <c r="G126" i="4" s="1"/>
  <c r="C127" i="4"/>
  <c r="E127" i="4" s="1"/>
  <c r="G127" i="4" s="1"/>
  <c r="C128" i="4"/>
  <c r="C129" i="4"/>
  <c r="C130" i="4"/>
  <c r="C131" i="4"/>
  <c r="E131" i="4" s="1"/>
  <c r="G131" i="4" s="1"/>
  <c r="C132" i="4"/>
  <c r="E132" i="4" s="1"/>
  <c r="G132" i="4" s="1"/>
  <c r="C133" i="4"/>
  <c r="E133" i="4" s="1"/>
  <c r="G133" i="4" s="1"/>
  <c r="C134" i="4"/>
  <c r="E134" i="4" s="1"/>
  <c r="G134" i="4" s="1"/>
  <c r="C135" i="4"/>
  <c r="E135" i="4" s="1"/>
  <c r="G135" i="4" s="1"/>
  <c r="C136" i="4"/>
  <c r="E136" i="4" s="1"/>
  <c r="G136" i="4" s="1"/>
  <c r="C137" i="4"/>
  <c r="E137" i="4" s="1"/>
  <c r="G137" i="4" s="1"/>
  <c r="C138" i="4"/>
  <c r="E138" i="4" s="1"/>
  <c r="G138" i="4" s="1"/>
  <c r="C139" i="4"/>
  <c r="E139" i="4" s="1"/>
  <c r="G139" i="4" s="1"/>
  <c r="C140" i="4"/>
  <c r="E140" i="4" s="1"/>
  <c r="G140" i="4" s="1"/>
  <c r="C141" i="4"/>
  <c r="E141" i="4" s="1"/>
  <c r="G141" i="4" s="1"/>
  <c r="C142" i="4"/>
  <c r="E142" i="4" s="1"/>
  <c r="G142" i="4" s="1"/>
  <c r="C143" i="4"/>
  <c r="E143" i="4" s="1"/>
  <c r="G143" i="4" s="1"/>
  <c r="C144" i="4"/>
  <c r="E144" i="4" s="1"/>
  <c r="G144" i="4" s="1"/>
  <c r="C145" i="4"/>
  <c r="E145" i="4" s="1"/>
  <c r="G145" i="4" s="1"/>
  <c r="C146" i="4"/>
  <c r="E146" i="4" s="1"/>
  <c r="G146" i="4" s="1"/>
  <c r="C147" i="4"/>
  <c r="E147" i="4" s="1"/>
  <c r="G147" i="4" s="1"/>
  <c r="C148" i="4"/>
  <c r="E148" i="4" s="1"/>
  <c r="G148" i="4" s="1"/>
  <c r="C149" i="4"/>
  <c r="E149" i="4" s="1"/>
  <c r="G149" i="4" s="1"/>
  <c r="C150" i="4"/>
  <c r="E150" i="4" s="1"/>
  <c r="G150" i="4" s="1"/>
  <c r="C105" i="4"/>
  <c r="E105" i="4" s="1"/>
  <c r="G105" i="4" s="1"/>
  <c r="C106" i="4"/>
  <c r="E106" i="4" s="1"/>
  <c r="G106" i="4" s="1"/>
  <c r="C107" i="4"/>
  <c r="E107" i="4" s="1"/>
  <c r="G107" i="4" s="1"/>
  <c r="C108" i="4"/>
  <c r="E108" i="4" s="1"/>
  <c r="G108" i="4" s="1"/>
  <c r="C109" i="4"/>
  <c r="E109" i="4" s="1"/>
  <c r="G109" i="4" s="1"/>
  <c r="C110" i="4"/>
  <c r="E110" i="4" s="1"/>
  <c r="C111" i="4"/>
  <c r="E111" i="4" s="1"/>
  <c r="C112" i="4"/>
  <c r="E112" i="4" s="1"/>
  <c r="G112" i="4" s="1"/>
  <c r="C151" i="4"/>
  <c r="E151" i="4"/>
  <c r="G151" i="4"/>
  <c r="C101" i="4"/>
  <c r="E101" i="4"/>
  <c r="G101" i="4" s="1"/>
  <c r="C102" i="4"/>
  <c r="E102" i="4" s="1"/>
  <c r="G102" i="4" s="1"/>
  <c r="C103" i="4"/>
  <c r="E103" i="4" s="1"/>
  <c r="G103" i="4" s="1"/>
  <c r="C104" i="4"/>
  <c r="E104" i="4"/>
  <c r="G104" i="4" s="1"/>
  <c r="G110" i="4" l="1"/>
  <c r="I5" i="5"/>
  <c r="J4" i="5"/>
  <c r="G111" i="4"/>
  <c r="J5" i="5" l="1"/>
  <c r="I6" i="5"/>
  <c r="C100" i="4"/>
  <c r="E100" i="4" s="1"/>
  <c r="G100" i="4" s="1"/>
  <c r="C99" i="4"/>
  <c r="E99" i="4" s="1"/>
  <c r="G99" i="4" s="1"/>
  <c r="C98" i="4"/>
  <c r="E98" i="4" s="1"/>
  <c r="G98" i="4" s="1"/>
  <c r="C97" i="4"/>
  <c r="E97" i="4" s="1"/>
  <c r="G97" i="4" s="1"/>
  <c r="C96" i="4"/>
  <c r="E96" i="4" s="1"/>
  <c r="G96" i="4" s="1"/>
  <c r="C95" i="4"/>
  <c r="E95" i="4" s="1"/>
  <c r="G95" i="4" s="1"/>
  <c r="C94" i="4"/>
  <c r="E94" i="4" s="1"/>
  <c r="G94" i="4" s="1"/>
  <c r="C93" i="4"/>
  <c r="E93" i="4" s="1"/>
  <c r="G93" i="4" s="1"/>
  <c r="C92" i="4"/>
  <c r="E92" i="4" s="1"/>
  <c r="G92" i="4" s="1"/>
  <c r="C91" i="4"/>
  <c r="E91" i="4" s="1"/>
  <c r="G91" i="4" s="1"/>
  <c r="C90" i="4"/>
  <c r="E90" i="4" s="1"/>
  <c r="G90" i="4" s="1"/>
  <c r="C89" i="4"/>
  <c r="E89" i="4" s="1"/>
  <c r="G89" i="4" s="1"/>
  <c r="C88" i="4"/>
  <c r="E88" i="4" s="1"/>
  <c r="G88" i="4" s="1"/>
  <c r="C87" i="4"/>
  <c r="E87" i="4" s="1"/>
  <c r="G87" i="4" s="1"/>
  <c r="C86" i="4"/>
  <c r="E86" i="4" s="1"/>
  <c r="G86" i="4" s="1"/>
  <c r="C85" i="4"/>
  <c r="E85" i="4" s="1"/>
  <c r="G85" i="4" s="1"/>
  <c r="C84" i="4"/>
  <c r="E84" i="4" s="1"/>
  <c r="G84" i="4" s="1"/>
  <c r="C83" i="4"/>
  <c r="E83" i="4" s="1"/>
  <c r="G83" i="4" s="1"/>
  <c r="C82" i="4"/>
  <c r="E82" i="4" s="1"/>
  <c r="G82" i="4" s="1"/>
  <c r="C81" i="4"/>
  <c r="E81" i="4" s="1"/>
  <c r="G81" i="4" s="1"/>
  <c r="C80" i="4"/>
  <c r="E80" i="4" s="1"/>
  <c r="G80" i="4" s="1"/>
  <c r="C79" i="4"/>
  <c r="E79" i="4" s="1"/>
  <c r="G79" i="4" s="1"/>
  <c r="C78" i="4"/>
  <c r="E78" i="4" s="1"/>
  <c r="G78" i="4" s="1"/>
  <c r="C77" i="4"/>
  <c r="C75" i="4"/>
  <c r="E75" i="4" s="1"/>
  <c r="G75" i="4" s="1"/>
  <c r="C74" i="4"/>
  <c r="E74" i="4" s="1"/>
  <c r="G74" i="4" s="1"/>
  <c r="C73" i="4"/>
  <c r="E73" i="4" s="1"/>
  <c r="G73" i="4" s="1"/>
  <c r="C72" i="4"/>
  <c r="E72" i="4" s="1"/>
  <c r="G72" i="4" s="1"/>
  <c r="C71" i="4"/>
  <c r="E71" i="4" s="1"/>
  <c r="G71" i="4" s="1"/>
  <c r="C70" i="4"/>
  <c r="E70" i="4" s="1"/>
  <c r="G70" i="4" s="1"/>
  <c r="C69" i="4"/>
  <c r="E69" i="4" s="1"/>
  <c r="G69" i="4" s="1"/>
  <c r="C68" i="4"/>
  <c r="E68" i="4" s="1"/>
  <c r="G68" i="4" s="1"/>
  <c r="C67" i="4"/>
  <c r="E67" i="4" s="1"/>
  <c r="G67" i="4" s="1"/>
  <c r="C66" i="4"/>
  <c r="E66" i="4" s="1"/>
  <c r="G66" i="4" s="1"/>
  <c r="C65" i="4"/>
  <c r="E65" i="4" s="1"/>
  <c r="G65" i="4" s="1"/>
  <c r="C64" i="4"/>
  <c r="E64" i="4" s="1"/>
  <c r="G64" i="4" s="1"/>
  <c r="C63" i="4"/>
  <c r="E63" i="4" s="1"/>
  <c r="G63" i="4" s="1"/>
  <c r="C62" i="4"/>
  <c r="E62" i="4" s="1"/>
  <c r="G62" i="4" s="1"/>
  <c r="C61" i="4"/>
  <c r="E61" i="4" s="1"/>
  <c r="G61" i="4" s="1"/>
  <c r="C60" i="4"/>
  <c r="E60" i="4" s="1"/>
  <c r="G60" i="4" s="1"/>
  <c r="C59" i="4"/>
  <c r="E59" i="4" s="1"/>
  <c r="G59" i="4" s="1"/>
  <c r="C58" i="4"/>
  <c r="E58" i="4" s="1"/>
  <c r="G58" i="4" s="1"/>
  <c r="C57" i="4"/>
  <c r="E57" i="4" s="1"/>
  <c r="G57" i="4" s="1"/>
  <c r="C56" i="4"/>
  <c r="E56" i="4" s="1"/>
  <c r="G56" i="4" s="1"/>
  <c r="C55" i="4"/>
  <c r="E55" i="4" s="1"/>
  <c r="G55" i="4" s="1"/>
  <c r="C54" i="4"/>
  <c r="E54" i="4" s="1"/>
  <c r="G54" i="4" s="1"/>
  <c r="C53" i="4"/>
  <c r="E53" i="4" s="1"/>
  <c r="G53" i="4" s="1"/>
  <c r="C52" i="4"/>
  <c r="E52" i="4" s="1"/>
  <c r="G52" i="4" s="1"/>
  <c r="C51" i="4"/>
  <c r="E51" i="4" s="1"/>
  <c r="G51" i="4" s="1"/>
  <c r="C50" i="4"/>
  <c r="E50" i="4" s="1"/>
  <c r="G50" i="4" s="1"/>
  <c r="C49" i="4"/>
  <c r="E49" i="4" s="1"/>
  <c r="G49" i="4" s="1"/>
  <c r="C48" i="4"/>
  <c r="E48" i="4" s="1"/>
  <c r="G48" i="4" s="1"/>
  <c r="C47" i="4"/>
  <c r="E47" i="4" s="1"/>
  <c r="G47" i="4" s="1"/>
  <c r="C46" i="4"/>
  <c r="E46" i="4" s="1"/>
  <c r="G46" i="4" s="1"/>
  <c r="C45" i="4"/>
  <c r="E45" i="4" s="1"/>
  <c r="G45" i="4" s="1"/>
  <c r="C44" i="4"/>
  <c r="E44" i="4" s="1"/>
  <c r="G44" i="4" s="1"/>
  <c r="C43" i="4"/>
  <c r="E43" i="4" s="1"/>
  <c r="G43" i="4" s="1"/>
  <c r="C42" i="4"/>
  <c r="E42" i="4" s="1"/>
  <c r="G42" i="4" s="1"/>
  <c r="C41" i="4"/>
  <c r="E41" i="4" s="1"/>
  <c r="G41" i="4" s="1"/>
  <c r="C40" i="4"/>
  <c r="E40" i="4" s="1"/>
  <c r="G40" i="4" s="1"/>
  <c r="C39" i="4"/>
  <c r="E39" i="4" s="1"/>
  <c r="G39" i="4" s="1"/>
  <c r="C38" i="4"/>
  <c r="E38" i="4" s="1"/>
  <c r="G38" i="4" s="1"/>
  <c r="C37" i="4"/>
  <c r="E37" i="4" s="1"/>
  <c r="G37" i="4" s="1"/>
  <c r="C36" i="4"/>
  <c r="E36" i="4" s="1"/>
  <c r="G36" i="4" s="1"/>
  <c r="C35" i="4"/>
  <c r="E35" i="4" s="1"/>
  <c r="G35" i="4" s="1"/>
  <c r="C34" i="4"/>
  <c r="E34" i="4" s="1"/>
  <c r="G34" i="4" s="1"/>
  <c r="C33" i="4"/>
  <c r="E33" i="4" s="1"/>
  <c r="G33" i="4" s="1"/>
  <c r="C32" i="4"/>
  <c r="E32" i="4" s="1"/>
  <c r="G32" i="4" s="1"/>
  <c r="G31" i="4"/>
  <c r="C30" i="4"/>
  <c r="E30" i="4" s="1"/>
  <c r="G30" i="4" s="1"/>
  <c r="C29" i="4"/>
  <c r="E29" i="4" s="1"/>
  <c r="G29" i="4" s="1"/>
  <c r="C28" i="4"/>
  <c r="E28" i="4" s="1"/>
  <c r="G28" i="4" s="1"/>
  <c r="C27" i="4"/>
  <c r="E27" i="4" s="1"/>
  <c r="G27" i="4" s="1"/>
  <c r="C26" i="4"/>
  <c r="E26" i="4" s="1"/>
  <c r="G26" i="4" s="1"/>
  <c r="C25" i="4"/>
  <c r="E25" i="4" s="1"/>
  <c r="G25" i="4" s="1"/>
  <c r="C24" i="4"/>
  <c r="E24" i="4" s="1"/>
  <c r="G24" i="4" s="1"/>
  <c r="C23" i="4"/>
  <c r="E23" i="4" s="1"/>
  <c r="G23" i="4" s="1"/>
  <c r="C22" i="4"/>
  <c r="E22" i="4" s="1"/>
  <c r="G22" i="4" s="1"/>
  <c r="C21" i="4"/>
  <c r="E21" i="4" s="1"/>
  <c r="G21" i="4" s="1"/>
  <c r="C20" i="4"/>
  <c r="E20" i="4" s="1"/>
  <c r="G20" i="4" s="1"/>
  <c r="C19" i="4"/>
  <c r="E19" i="4" s="1"/>
  <c r="G19" i="4" s="1"/>
  <c r="C18" i="4"/>
  <c r="E18" i="4" s="1"/>
  <c r="G18" i="4" s="1"/>
  <c r="C17" i="4"/>
  <c r="E17" i="4" s="1"/>
  <c r="G17" i="4" s="1"/>
  <c r="C16" i="4"/>
  <c r="E16" i="4" s="1"/>
  <c r="G16" i="4" s="1"/>
  <c r="C15" i="4"/>
  <c r="E15" i="4" s="1"/>
  <c r="G15" i="4" s="1"/>
  <c r="C14" i="4"/>
  <c r="E14" i="4" s="1"/>
  <c r="G14" i="4" s="1"/>
  <c r="C13" i="4"/>
  <c r="E13" i="4" s="1"/>
  <c r="G13" i="4" s="1"/>
  <c r="C12" i="4"/>
  <c r="E12" i="4" s="1"/>
  <c r="G12" i="4" s="1"/>
  <c r="C11" i="4"/>
  <c r="E11" i="4" s="1"/>
  <c r="G11" i="4" s="1"/>
  <c r="C10" i="4"/>
  <c r="E10" i="4" s="1"/>
  <c r="G10" i="4" s="1"/>
  <c r="C9" i="4"/>
  <c r="E9" i="4" s="1"/>
  <c r="G9" i="4" s="1"/>
  <c r="C8" i="4"/>
  <c r="E8" i="4" s="1"/>
  <c r="G8" i="4" s="1"/>
  <c r="C7" i="4"/>
  <c r="E7" i="4" s="1"/>
  <c r="G7" i="4" s="1"/>
  <c r="C6" i="4"/>
  <c r="E6" i="4" s="1"/>
  <c r="G6" i="4" s="1"/>
  <c r="C5" i="4"/>
  <c r="E5" i="4" s="1"/>
  <c r="G5" i="4" s="1"/>
  <c r="C4" i="4"/>
  <c r="E4" i="4" s="1"/>
  <c r="G4" i="4" s="1"/>
  <c r="C3" i="4"/>
  <c r="E3" i="4" s="1"/>
  <c r="G3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I2" i="4"/>
  <c r="C2" i="4"/>
  <c r="E2" i="4" s="1"/>
  <c r="G2" i="4" s="1"/>
  <c r="A76" i="4" l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I7" i="5"/>
  <c r="J6" i="5"/>
  <c r="E77" i="4"/>
  <c r="G77" i="4" s="1"/>
  <c r="I3" i="4"/>
  <c r="I4" i="4"/>
  <c r="I8" i="5" l="1"/>
  <c r="J7" i="5"/>
  <c r="J2" i="4"/>
  <c r="I5" i="4"/>
  <c r="J3" i="4" l="1"/>
  <c r="J8" i="5"/>
  <c r="I9" i="5"/>
  <c r="I6" i="4"/>
  <c r="J4" i="4" l="1"/>
  <c r="J5" i="4" s="1"/>
  <c r="J9" i="5"/>
  <c r="I10" i="5"/>
  <c r="I7" i="4"/>
  <c r="J10" i="5" l="1"/>
  <c r="I11" i="5"/>
  <c r="J6" i="4"/>
  <c r="J7" i="4" s="1"/>
  <c r="I8" i="4"/>
  <c r="I12" i="5" l="1"/>
  <c r="J11" i="5"/>
  <c r="J8" i="4"/>
  <c r="J9" i="4" s="1"/>
  <c r="I9" i="4"/>
  <c r="I13" i="5" l="1"/>
  <c r="J12" i="5"/>
  <c r="I10" i="4"/>
  <c r="J10" i="4" s="1"/>
  <c r="J13" i="5" l="1"/>
  <c r="I14" i="5"/>
  <c r="I11" i="4"/>
  <c r="J11" i="4" s="1"/>
  <c r="J14" i="5" l="1"/>
  <c r="I15" i="5"/>
  <c r="I12" i="4"/>
  <c r="J12" i="4" s="1"/>
  <c r="J15" i="5" l="1"/>
  <c r="I16" i="5"/>
  <c r="I13" i="4"/>
  <c r="J13" i="4" s="1"/>
  <c r="I17" i="5" l="1"/>
  <c r="J16" i="5"/>
  <c r="I14" i="4"/>
  <c r="J14" i="4" s="1"/>
  <c r="I18" i="5" l="1"/>
  <c r="J17" i="5"/>
  <c r="I15" i="4"/>
  <c r="J15" i="4" s="1"/>
  <c r="J18" i="5" l="1"/>
  <c r="I19" i="5"/>
  <c r="I16" i="4"/>
  <c r="J16" i="4" s="1"/>
  <c r="I20" i="5" l="1"/>
  <c r="J19" i="5"/>
  <c r="I17" i="4"/>
  <c r="J17" i="4" s="1"/>
  <c r="J20" i="5" l="1"/>
  <c r="I21" i="5"/>
  <c r="I18" i="4"/>
  <c r="J18" i="4" s="1"/>
  <c r="I22" i="5" l="1"/>
  <c r="J21" i="5"/>
  <c r="I19" i="4"/>
  <c r="J19" i="4" s="1"/>
  <c r="J22" i="5" l="1"/>
  <c r="I23" i="5"/>
  <c r="I20" i="4"/>
  <c r="J20" i="4" s="1"/>
  <c r="I24" i="5" l="1"/>
  <c r="J23" i="5"/>
  <c r="I21" i="4"/>
  <c r="J21" i="4" s="1"/>
  <c r="I25" i="5" l="1"/>
  <c r="J24" i="5"/>
  <c r="I22" i="4"/>
  <c r="J22" i="4" s="1"/>
  <c r="I26" i="5" l="1"/>
  <c r="J25" i="5"/>
  <c r="I23" i="4"/>
  <c r="J23" i="4" s="1"/>
  <c r="I27" i="5" l="1"/>
  <c r="J26" i="5"/>
  <c r="I24" i="4"/>
  <c r="J24" i="4" s="1"/>
  <c r="I28" i="5" l="1"/>
  <c r="J27" i="5"/>
  <c r="I25" i="4"/>
  <c r="J25" i="4" s="1"/>
  <c r="J28" i="5" l="1"/>
  <c r="I29" i="5"/>
  <c r="I26" i="4"/>
  <c r="J26" i="4" s="1"/>
  <c r="I30" i="5" l="1"/>
  <c r="J29" i="5"/>
  <c r="I27" i="4"/>
  <c r="J27" i="4" s="1"/>
  <c r="J30" i="5" l="1"/>
  <c r="I31" i="5"/>
  <c r="I28" i="4"/>
  <c r="J28" i="4" s="1"/>
  <c r="J31" i="5" l="1"/>
  <c r="I32" i="5"/>
  <c r="I29" i="4"/>
  <c r="J29" i="4" s="1"/>
  <c r="I33" i="5" l="1"/>
  <c r="J32" i="5"/>
  <c r="I30" i="4"/>
  <c r="J30" i="4" s="1"/>
  <c r="I34" i="5" l="1"/>
  <c r="J33" i="5"/>
  <c r="I31" i="4"/>
  <c r="J31" i="4" s="1"/>
  <c r="I35" i="5" l="1"/>
  <c r="J34" i="5"/>
  <c r="I32" i="4"/>
  <c r="J32" i="4" s="1"/>
  <c r="I36" i="5" l="1"/>
  <c r="J35" i="5"/>
  <c r="I33" i="4"/>
  <c r="J33" i="4" s="1"/>
  <c r="I37" i="5" l="1"/>
  <c r="J36" i="5"/>
  <c r="I34" i="4"/>
  <c r="J34" i="4" s="1"/>
  <c r="I38" i="5" l="1"/>
  <c r="J37" i="5"/>
  <c r="I35" i="4"/>
  <c r="J35" i="4" s="1"/>
  <c r="J38" i="5" l="1"/>
  <c r="I39" i="5"/>
  <c r="I36" i="4"/>
  <c r="J36" i="4" s="1"/>
  <c r="I40" i="5" l="1"/>
  <c r="J39" i="5"/>
  <c r="I37" i="4"/>
  <c r="J37" i="4" s="1"/>
  <c r="J40" i="5" l="1"/>
  <c r="I41" i="5"/>
  <c r="I38" i="4"/>
  <c r="J38" i="4" s="1"/>
  <c r="J41" i="5" l="1"/>
  <c r="I42" i="5"/>
  <c r="I39" i="4"/>
  <c r="J39" i="4" s="1"/>
  <c r="J42" i="5" l="1"/>
  <c r="I43" i="5"/>
  <c r="I40" i="4"/>
  <c r="J40" i="4" s="1"/>
  <c r="J43" i="5" l="1"/>
  <c r="I44" i="5"/>
  <c r="I41" i="4"/>
  <c r="J41" i="4" s="1"/>
  <c r="I45" i="5" l="1"/>
  <c r="J44" i="5"/>
  <c r="I42" i="4"/>
  <c r="J42" i="4" s="1"/>
  <c r="I46" i="5" l="1"/>
  <c r="J45" i="5"/>
  <c r="I43" i="4"/>
  <c r="J43" i="4" s="1"/>
  <c r="I47" i="5" l="1"/>
  <c r="J46" i="5"/>
  <c r="I44" i="4"/>
  <c r="J44" i="4" s="1"/>
  <c r="I48" i="5" l="1"/>
  <c r="J47" i="5"/>
  <c r="I45" i="4"/>
  <c r="J45" i="4" s="1"/>
  <c r="J48" i="5" l="1"/>
  <c r="I49" i="5"/>
  <c r="I46" i="4"/>
  <c r="J46" i="4" s="1"/>
  <c r="I50" i="5" l="1"/>
  <c r="J49" i="5"/>
  <c r="I47" i="4"/>
  <c r="J47" i="4" s="1"/>
  <c r="J50" i="5" l="1"/>
  <c r="I51" i="5"/>
  <c r="I48" i="4"/>
  <c r="J48" i="4" s="1"/>
  <c r="J51" i="5" l="1"/>
  <c r="J52" i="5"/>
  <c r="I49" i="4"/>
  <c r="J49" i="4" s="1"/>
  <c r="J53" i="5" l="1"/>
  <c r="I50" i="4"/>
  <c r="J50" i="4" s="1"/>
  <c r="I51" i="4" l="1"/>
  <c r="J51" i="4" l="1"/>
  <c r="J53" i="4" s="1"/>
</calcChain>
</file>

<file path=xl/sharedStrings.xml><?xml version="1.0" encoding="utf-8"?>
<sst xmlns="http://schemas.openxmlformats.org/spreadsheetml/2006/main" count="22" uniqueCount="14">
  <si>
    <t>次數</t>
    <phoneticPr fontId="1" type="noConversion"/>
  </si>
  <si>
    <t>X(格數)</t>
    <phoneticPr fontId="1" type="noConversion"/>
  </si>
  <si>
    <t>S(m)</t>
    <phoneticPr fontId="1" type="noConversion"/>
  </si>
  <si>
    <t>T(s)</t>
    <phoneticPr fontId="1" type="noConversion"/>
  </si>
  <si>
    <r>
      <t>V</t>
    </r>
    <r>
      <rPr>
        <vertAlign val="subscript"/>
        <sz val="12"/>
        <color theme="1"/>
        <rFont val="標楷體"/>
        <family val="4"/>
        <charset val="136"/>
      </rPr>
      <t>1</t>
    </r>
    <r>
      <rPr>
        <sz val="12"/>
        <color theme="1"/>
        <rFont val="標楷體"/>
        <family val="4"/>
        <charset val="136"/>
      </rPr>
      <t xml:space="preserve">(m/s) </t>
    </r>
    <phoneticPr fontId="1" type="noConversion"/>
  </si>
  <si>
    <r>
      <t>U</t>
    </r>
    <r>
      <rPr>
        <vertAlign val="subscript"/>
        <sz val="12"/>
        <color theme="1"/>
        <rFont val="標楷體"/>
        <family val="4"/>
        <charset val="136"/>
      </rPr>
      <t>0</t>
    </r>
    <r>
      <rPr>
        <sz val="12"/>
        <color theme="1"/>
        <rFont val="標楷體"/>
        <family val="4"/>
        <charset val="136"/>
      </rPr>
      <t>(V)</t>
    </r>
    <phoneticPr fontId="1" type="noConversion"/>
  </si>
  <si>
    <t xml:space="preserve">Q(coulomb) </t>
    <phoneticPr fontId="1" type="noConversion"/>
  </si>
  <si>
    <t>個數</t>
    <phoneticPr fontId="1" type="noConversion"/>
  </si>
  <si>
    <t>大於5.0E-19</t>
    <phoneticPr fontId="1" type="noConversion"/>
  </si>
  <si>
    <r>
      <t>V</t>
    </r>
    <r>
      <rPr>
        <vertAlign val="subscript"/>
        <sz val="12"/>
        <color theme="1"/>
        <rFont val="標楷體"/>
        <family val="4"/>
        <charset val="136"/>
      </rPr>
      <t>1</t>
    </r>
    <r>
      <rPr>
        <sz val="12"/>
        <color theme="1"/>
        <rFont val="標楷體"/>
        <family val="4"/>
        <charset val="136"/>
      </rPr>
      <t xml:space="preserve">(m/s) </t>
    </r>
    <phoneticPr fontId="1" type="noConversion"/>
  </si>
  <si>
    <r>
      <t>U</t>
    </r>
    <r>
      <rPr>
        <vertAlign val="subscript"/>
        <sz val="12"/>
        <color theme="1"/>
        <rFont val="標楷體"/>
        <family val="4"/>
        <charset val="136"/>
      </rPr>
      <t>0</t>
    </r>
    <r>
      <rPr>
        <sz val="12"/>
        <color theme="1"/>
        <rFont val="標楷體"/>
        <family val="4"/>
        <charset val="136"/>
      </rPr>
      <t>(V)</t>
    </r>
    <phoneticPr fontId="1" type="noConversion"/>
  </si>
  <si>
    <t>區間</t>
    <phoneticPr fontId="1" type="noConversion"/>
  </si>
  <si>
    <t>次數</t>
    <phoneticPr fontId="1" type="noConversion"/>
  </si>
  <si>
    <t>總數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</si>
</sst>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E+00"/>
    <numFmt numFmtId="177" formatCode="0.0"/>
  </numFmts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vertAlign val="subscript"/>
      <sz val="12"/>
      <color theme="1"/>
      <name val="標楷體"/>
      <family val="4"/>
      <charset val="136"/>
    </font>
    <font>
      <sz val="11"/>
      <color theme="1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73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7" fontId="2" fillId="2" borderId="2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2" borderId="9" xfId="0" applyNumberFormat="1" applyFont="1" applyFill="1" applyBorder="1" applyAlignment="1">
      <alignment horizontal="center" vertical="center"/>
    </xf>
    <xf numFmtId="177" fontId="2" fillId="2" borderId="2" xfId="0" applyNumberFormat="1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" fontId="2" fillId="0" borderId="15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2" fontId="2" fillId="3" borderId="5" xfId="0" applyNumberFormat="1" applyFont="1" applyFill="1" applyBorder="1" applyAlignment="1">
      <alignment horizontal="center" vertical="center"/>
    </xf>
    <xf numFmtId="177" fontId="2" fillId="3" borderId="5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2" fontId="2" fillId="3" borderId="9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2" fontId="2" fillId="2" borderId="11" xfId="0" applyNumberFormat="1" applyFont="1" applyFill="1" applyBorder="1" applyAlignment="1">
      <alignment horizontal="center" vertical="center"/>
    </xf>
    <xf numFmtId="177" fontId="2" fillId="2" borderId="11" xfId="0" applyNumberFormat="1" applyFont="1" applyFill="1" applyBorder="1" applyAlignment="1">
      <alignment horizontal="center"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N-Q</a:t>
            </a:r>
            <a:r>
              <a:rPr lang="zh-TW"/>
              <a:t>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A!$I$2:$I$51</c:f>
              <c:strCache>
                <c:ptCount val="50"/>
                <c:pt idx="0">
                  <c:v>1.0E-20</c:v>
                </c:pt>
                <c:pt idx="1">
                  <c:v>2.0E-20</c:v>
                </c:pt>
                <c:pt idx="2">
                  <c:v>3.0E-20</c:v>
                </c:pt>
                <c:pt idx="3">
                  <c:v>4.0E-20</c:v>
                </c:pt>
                <c:pt idx="4">
                  <c:v>5.0E-20</c:v>
                </c:pt>
                <c:pt idx="5">
                  <c:v>6.0E-20</c:v>
                </c:pt>
                <c:pt idx="6">
                  <c:v>7.0E-20</c:v>
                </c:pt>
                <c:pt idx="7">
                  <c:v>8.0E-20</c:v>
                </c:pt>
                <c:pt idx="8">
                  <c:v>9.0E-20</c:v>
                </c:pt>
                <c:pt idx="9">
                  <c:v>1.0E-19</c:v>
                </c:pt>
                <c:pt idx="10">
                  <c:v>1.1E-19</c:v>
                </c:pt>
                <c:pt idx="11">
                  <c:v>1.2E-19</c:v>
                </c:pt>
                <c:pt idx="12">
                  <c:v>1.3E-19</c:v>
                </c:pt>
                <c:pt idx="13">
                  <c:v>1.4E-19</c:v>
                </c:pt>
                <c:pt idx="14">
                  <c:v>1.5E-19</c:v>
                </c:pt>
                <c:pt idx="15">
                  <c:v>1.6E-19</c:v>
                </c:pt>
                <c:pt idx="16">
                  <c:v>1.7E-19</c:v>
                </c:pt>
                <c:pt idx="17">
                  <c:v>1.8E-19</c:v>
                </c:pt>
                <c:pt idx="18">
                  <c:v>1.9E-19</c:v>
                </c:pt>
                <c:pt idx="19">
                  <c:v>2.0E-19</c:v>
                </c:pt>
                <c:pt idx="20">
                  <c:v>2.1E-19</c:v>
                </c:pt>
                <c:pt idx="21">
                  <c:v>2.2E-19</c:v>
                </c:pt>
                <c:pt idx="22">
                  <c:v>2.3E-19</c:v>
                </c:pt>
                <c:pt idx="23">
                  <c:v>2.4E-19</c:v>
                </c:pt>
                <c:pt idx="24">
                  <c:v>2.5E-19</c:v>
                </c:pt>
                <c:pt idx="25">
                  <c:v>2.6E-19</c:v>
                </c:pt>
                <c:pt idx="26">
                  <c:v>2.7E-19</c:v>
                </c:pt>
                <c:pt idx="27">
                  <c:v>2.8E-19</c:v>
                </c:pt>
                <c:pt idx="28">
                  <c:v>2.9E-19</c:v>
                </c:pt>
                <c:pt idx="29">
                  <c:v>3.0E-19</c:v>
                </c:pt>
                <c:pt idx="30">
                  <c:v>3.1E-19</c:v>
                </c:pt>
                <c:pt idx="31">
                  <c:v>3.2E-19</c:v>
                </c:pt>
                <c:pt idx="32">
                  <c:v>3.3E-19</c:v>
                </c:pt>
                <c:pt idx="33">
                  <c:v>3.4E-19</c:v>
                </c:pt>
                <c:pt idx="34">
                  <c:v>3.5E-19</c:v>
                </c:pt>
                <c:pt idx="35">
                  <c:v>3.6E-19</c:v>
                </c:pt>
                <c:pt idx="36">
                  <c:v>3.7E-19</c:v>
                </c:pt>
                <c:pt idx="37">
                  <c:v>3.8E-19</c:v>
                </c:pt>
                <c:pt idx="38">
                  <c:v>3.9E-19</c:v>
                </c:pt>
                <c:pt idx="39">
                  <c:v>4.0E-19</c:v>
                </c:pt>
                <c:pt idx="40">
                  <c:v>4.1E-19</c:v>
                </c:pt>
                <c:pt idx="41">
                  <c:v>4.2E-19</c:v>
                </c:pt>
                <c:pt idx="42">
                  <c:v>4.3E-19</c:v>
                </c:pt>
                <c:pt idx="43">
                  <c:v>4.4E-19</c:v>
                </c:pt>
                <c:pt idx="44">
                  <c:v>4.5E-19</c:v>
                </c:pt>
                <c:pt idx="45">
                  <c:v>4.6E-19</c:v>
                </c:pt>
                <c:pt idx="46">
                  <c:v>4.7E-19</c:v>
                </c:pt>
                <c:pt idx="47">
                  <c:v>4.8E-19</c:v>
                </c:pt>
                <c:pt idx="48">
                  <c:v>4.9E-19</c:v>
                </c:pt>
                <c:pt idx="49">
                  <c:v>5.0E-19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A!$I$2:$I$51</c:f>
              <c:numCache>
                <c:formatCode>0.0E+00</c:formatCode>
                <c:ptCount val="50"/>
                <c:pt idx="0">
                  <c:v>1.0000000000000001E-20</c:v>
                </c:pt>
                <c:pt idx="1">
                  <c:v>2.0000000000000002E-20</c:v>
                </c:pt>
                <c:pt idx="2">
                  <c:v>3.0000000000000003E-20</c:v>
                </c:pt>
                <c:pt idx="3">
                  <c:v>4.0000000000000004E-20</c:v>
                </c:pt>
                <c:pt idx="4">
                  <c:v>5.0000000000000005E-20</c:v>
                </c:pt>
                <c:pt idx="5">
                  <c:v>6.0000000000000006E-20</c:v>
                </c:pt>
                <c:pt idx="6">
                  <c:v>7.0000000000000013E-20</c:v>
                </c:pt>
                <c:pt idx="7">
                  <c:v>8.0000000000000008E-20</c:v>
                </c:pt>
                <c:pt idx="8">
                  <c:v>9.0000000000000003E-20</c:v>
                </c:pt>
                <c:pt idx="9">
                  <c:v>9.9999999999999998E-20</c:v>
                </c:pt>
                <c:pt idx="10">
                  <c:v>1.0999999999999999E-19</c:v>
                </c:pt>
                <c:pt idx="11">
                  <c:v>1.1999999999999999E-19</c:v>
                </c:pt>
                <c:pt idx="12">
                  <c:v>1.2999999999999998E-19</c:v>
                </c:pt>
                <c:pt idx="13">
                  <c:v>1.3999999999999998E-19</c:v>
                </c:pt>
                <c:pt idx="14">
                  <c:v>1.4999999999999997E-19</c:v>
                </c:pt>
                <c:pt idx="15">
                  <c:v>1.5999999999999997E-19</c:v>
                </c:pt>
                <c:pt idx="16">
                  <c:v>1.6999999999999996E-19</c:v>
                </c:pt>
                <c:pt idx="17">
                  <c:v>1.7999999999999996E-19</c:v>
                </c:pt>
                <c:pt idx="18">
                  <c:v>1.8999999999999995E-19</c:v>
                </c:pt>
                <c:pt idx="19">
                  <c:v>1.9999999999999995E-19</c:v>
                </c:pt>
                <c:pt idx="20">
                  <c:v>2.0999999999999994E-19</c:v>
                </c:pt>
                <c:pt idx="21">
                  <c:v>2.1999999999999994E-19</c:v>
                </c:pt>
                <c:pt idx="22">
                  <c:v>2.2999999999999993E-19</c:v>
                </c:pt>
                <c:pt idx="23">
                  <c:v>2.3999999999999993E-19</c:v>
                </c:pt>
                <c:pt idx="24">
                  <c:v>2.4999999999999992E-19</c:v>
                </c:pt>
                <c:pt idx="25">
                  <c:v>2.5999999999999992E-19</c:v>
                </c:pt>
                <c:pt idx="26">
                  <c:v>2.6999999999999991E-19</c:v>
                </c:pt>
                <c:pt idx="27">
                  <c:v>2.7999999999999991E-19</c:v>
                </c:pt>
                <c:pt idx="28">
                  <c:v>2.899999999999999E-19</c:v>
                </c:pt>
                <c:pt idx="29">
                  <c:v>2.999999999999999E-19</c:v>
                </c:pt>
                <c:pt idx="30">
                  <c:v>3.0999999999999989E-19</c:v>
                </c:pt>
                <c:pt idx="31">
                  <c:v>3.1999999999999989E-19</c:v>
                </c:pt>
                <c:pt idx="32">
                  <c:v>3.2999999999999988E-19</c:v>
                </c:pt>
                <c:pt idx="33">
                  <c:v>3.3999999999999988E-19</c:v>
                </c:pt>
                <c:pt idx="34">
                  <c:v>3.4999999999999987E-19</c:v>
                </c:pt>
                <c:pt idx="35">
                  <c:v>3.5999999999999987E-19</c:v>
                </c:pt>
                <c:pt idx="36">
                  <c:v>3.6999999999999986E-19</c:v>
                </c:pt>
                <c:pt idx="37">
                  <c:v>3.7999999999999986E-19</c:v>
                </c:pt>
                <c:pt idx="38">
                  <c:v>3.8999999999999985E-19</c:v>
                </c:pt>
                <c:pt idx="39">
                  <c:v>3.9999999999999985E-19</c:v>
                </c:pt>
                <c:pt idx="40">
                  <c:v>4.0999999999999984E-19</c:v>
                </c:pt>
                <c:pt idx="41">
                  <c:v>4.1999999999999984E-19</c:v>
                </c:pt>
                <c:pt idx="42">
                  <c:v>4.2999999999999983E-19</c:v>
                </c:pt>
                <c:pt idx="43">
                  <c:v>4.3999999999999987E-19</c:v>
                </c:pt>
                <c:pt idx="44">
                  <c:v>4.4999999999999992E-19</c:v>
                </c:pt>
                <c:pt idx="45">
                  <c:v>4.5999999999999996E-19</c:v>
                </c:pt>
                <c:pt idx="46">
                  <c:v>4.7E-19</c:v>
                </c:pt>
                <c:pt idx="47">
                  <c:v>4.8000000000000005E-19</c:v>
                </c:pt>
                <c:pt idx="48">
                  <c:v>4.9000000000000009E-19</c:v>
                </c:pt>
                <c:pt idx="49">
                  <c:v>5.0000000000000013E-19</c:v>
                </c:pt>
              </c:numCache>
            </c:numRef>
          </c:cat>
          <c:val>
            <c:numRef>
              <c:f>A!$J$2:$J$51</c:f>
              <c:numCache>
                <c:formatCode>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3</c:v>
                </c:pt>
                <c:pt idx="32">
                  <c:v>1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8-48F2-96DE-794F9E7725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2741616"/>
        <c:axId val="321507520"/>
      </c:barChart>
      <c:catAx>
        <c:axId val="322741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油滴帶電量 </a:t>
                </a:r>
                <a:r>
                  <a:rPr lang="en-US"/>
                  <a:t>Q </a:t>
                </a:r>
                <a:endParaRPr 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1507520"/>
        <c:crosses val="autoZero"/>
        <c:auto val="1"/>
        <c:lblAlgn val="ctr"/>
        <c:lblOffset val="100"/>
        <c:noMultiLvlLbl val="0"/>
      </c:catAx>
      <c:valAx>
        <c:axId val="32150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測得此電量的次數 </a:t>
                </a:r>
                <a:r>
                  <a:rPr lang="en-US"/>
                  <a:t>N</a:t>
                </a:r>
                <a:endParaRPr 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2741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0" i="0" baseline="0">
                <a:effectLst/>
              </a:rPr>
              <a:t>N-Q</a:t>
            </a:r>
            <a:r>
              <a:rPr lang="zh-TW" altLang="zh-TW" sz="1800" b="0" i="0" baseline="0">
                <a:effectLst/>
              </a:rPr>
              <a:t>圖</a:t>
            </a:r>
            <a:endParaRPr lang="zh-TW" altLang="zh-TW">
              <a:effectLst/>
            </a:endParaRPr>
          </a:p>
        </c:rich>
      </c:tx>
      <c:layout>
        <c:manualLayout>
          <c:xMode val="edge"/>
          <c:yMode val="edge"/>
          <c:x val="0.47329536118777682"/>
          <c:y val="2.4130697721888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'A2'!$I$2:$I$51</c:f>
              <c:numCache>
                <c:formatCode>0.0E+00</c:formatCode>
                <c:ptCount val="50"/>
                <c:pt idx="0">
                  <c:v>1.0000000000000001E-20</c:v>
                </c:pt>
                <c:pt idx="1">
                  <c:v>2.0000000000000002E-20</c:v>
                </c:pt>
                <c:pt idx="2">
                  <c:v>3.0000000000000003E-20</c:v>
                </c:pt>
                <c:pt idx="3">
                  <c:v>4.0000000000000004E-20</c:v>
                </c:pt>
                <c:pt idx="4">
                  <c:v>5.0000000000000005E-20</c:v>
                </c:pt>
                <c:pt idx="5">
                  <c:v>6.0000000000000006E-20</c:v>
                </c:pt>
                <c:pt idx="6">
                  <c:v>7.0000000000000013E-20</c:v>
                </c:pt>
                <c:pt idx="7">
                  <c:v>8.0000000000000008E-20</c:v>
                </c:pt>
                <c:pt idx="8">
                  <c:v>9.0000000000000003E-20</c:v>
                </c:pt>
                <c:pt idx="9">
                  <c:v>9.9999999999999998E-20</c:v>
                </c:pt>
                <c:pt idx="10">
                  <c:v>1.0999999999999999E-19</c:v>
                </c:pt>
                <c:pt idx="11">
                  <c:v>1.1999999999999999E-19</c:v>
                </c:pt>
                <c:pt idx="12">
                  <c:v>1.2999999999999998E-19</c:v>
                </c:pt>
                <c:pt idx="13">
                  <c:v>1.3999999999999998E-19</c:v>
                </c:pt>
                <c:pt idx="14">
                  <c:v>1.4999999999999997E-19</c:v>
                </c:pt>
                <c:pt idx="15">
                  <c:v>1.5999999999999997E-19</c:v>
                </c:pt>
                <c:pt idx="16">
                  <c:v>1.6999999999999996E-19</c:v>
                </c:pt>
                <c:pt idx="17">
                  <c:v>1.7999999999999996E-19</c:v>
                </c:pt>
                <c:pt idx="18">
                  <c:v>1.8999999999999995E-19</c:v>
                </c:pt>
                <c:pt idx="19">
                  <c:v>1.9999999999999995E-19</c:v>
                </c:pt>
                <c:pt idx="20">
                  <c:v>2.0999999999999994E-19</c:v>
                </c:pt>
                <c:pt idx="21">
                  <c:v>2.1999999999999994E-19</c:v>
                </c:pt>
                <c:pt idx="22">
                  <c:v>2.2999999999999993E-19</c:v>
                </c:pt>
                <c:pt idx="23">
                  <c:v>2.3999999999999993E-19</c:v>
                </c:pt>
                <c:pt idx="24">
                  <c:v>2.4999999999999992E-19</c:v>
                </c:pt>
                <c:pt idx="25">
                  <c:v>2.5999999999999992E-19</c:v>
                </c:pt>
                <c:pt idx="26">
                  <c:v>2.6999999999999991E-19</c:v>
                </c:pt>
                <c:pt idx="27">
                  <c:v>2.7999999999999991E-19</c:v>
                </c:pt>
                <c:pt idx="28">
                  <c:v>2.899999999999999E-19</c:v>
                </c:pt>
                <c:pt idx="29">
                  <c:v>2.999999999999999E-19</c:v>
                </c:pt>
                <c:pt idx="30">
                  <c:v>3.0999999999999989E-19</c:v>
                </c:pt>
                <c:pt idx="31">
                  <c:v>3.1999999999999989E-19</c:v>
                </c:pt>
                <c:pt idx="32">
                  <c:v>3.2999999999999988E-19</c:v>
                </c:pt>
                <c:pt idx="33">
                  <c:v>3.3999999999999988E-19</c:v>
                </c:pt>
                <c:pt idx="34">
                  <c:v>3.4999999999999987E-19</c:v>
                </c:pt>
                <c:pt idx="35">
                  <c:v>3.5999999999999987E-19</c:v>
                </c:pt>
                <c:pt idx="36">
                  <c:v>3.6999999999999986E-19</c:v>
                </c:pt>
                <c:pt idx="37">
                  <c:v>3.7999999999999986E-19</c:v>
                </c:pt>
                <c:pt idx="38">
                  <c:v>3.8999999999999985E-19</c:v>
                </c:pt>
                <c:pt idx="39">
                  <c:v>3.9999999999999985E-19</c:v>
                </c:pt>
                <c:pt idx="40">
                  <c:v>4.0999999999999984E-19</c:v>
                </c:pt>
                <c:pt idx="41">
                  <c:v>4.1999999999999984E-19</c:v>
                </c:pt>
                <c:pt idx="42">
                  <c:v>4.2999999999999983E-19</c:v>
                </c:pt>
                <c:pt idx="43">
                  <c:v>4.3999999999999987E-19</c:v>
                </c:pt>
                <c:pt idx="44">
                  <c:v>4.4999999999999992E-19</c:v>
                </c:pt>
                <c:pt idx="45">
                  <c:v>4.5999999999999996E-19</c:v>
                </c:pt>
                <c:pt idx="46">
                  <c:v>4.7E-19</c:v>
                </c:pt>
                <c:pt idx="47">
                  <c:v>4.8000000000000005E-19</c:v>
                </c:pt>
                <c:pt idx="48">
                  <c:v>4.9000000000000009E-19</c:v>
                </c:pt>
                <c:pt idx="49">
                  <c:v>5.0000000000000013E-19</c:v>
                </c:pt>
              </c:numCache>
            </c:numRef>
          </c:cat>
          <c:val>
            <c:numRef>
              <c:f>'A2'!$J$2:$J$51</c:f>
              <c:numCache>
                <c:formatCode>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5</c:v>
                </c:pt>
                <c:pt idx="14">
                  <c:v>9</c:v>
                </c:pt>
                <c:pt idx="15">
                  <c:v>14</c:v>
                </c:pt>
                <c:pt idx="16">
                  <c:v>9</c:v>
                </c:pt>
                <c:pt idx="17">
                  <c:v>5</c:v>
                </c:pt>
                <c:pt idx="18">
                  <c:v>6</c:v>
                </c:pt>
                <c:pt idx="19">
                  <c:v>3</c:v>
                </c:pt>
                <c:pt idx="20">
                  <c:v>4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10</c:v>
                </c:pt>
                <c:pt idx="31">
                  <c:v>11</c:v>
                </c:pt>
                <c:pt idx="32">
                  <c:v>9</c:v>
                </c:pt>
                <c:pt idx="33">
                  <c:v>3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</c:v>
                </c:pt>
                <c:pt idx="47">
                  <c:v>4</c:v>
                </c:pt>
                <c:pt idx="48">
                  <c:v>2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B-4E49-9182-AC630C755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897039"/>
        <c:axId val="132868335"/>
      </c:barChart>
      <c:catAx>
        <c:axId val="1328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zh-TW" sz="1400" b="0" i="0" baseline="0">
                    <a:effectLst/>
                  </a:rPr>
                  <a:t>油滴帶電量 </a:t>
                </a:r>
                <a:r>
                  <a:rPr lang="en-US" altLang="zh-TW" sz="1400" b="0" i="0" baseline="0">
                    <a:effectLst/>
                  </a:rPr>
                  <a:t>Q </a:t>
                </a:r>
                <a:endParaRPr lang="zh-TW" altLang="zh-TW" sz="1400">
                  <a:effectLst/>
                </a:endParaRPr>
              </a:p>
            </c:rich>
          </c:tx>
          <c:layout>
            <c:manualLayout>
              <c:xMode val="edge"/>
              <c:yMode val="edge"/>
              <c:x val="0.41410764982087062"/>
              <c:y val="0.935622608327620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2868335"/>
        <c:crosses val="autoZero"/>
        <c:auto val="1"/>
        <c:lblAlgn val="ctr"/>
        <c:lblOffset val="100"/>
        <c:noMultiLvlLbl val="0"/>
      </c:catAx>
      <c:valAx>
        <c:axId val="1328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zh-TW" sz="1400" b="0" i="0" baseline="0">
                    <a:effectLst/>
                  </a:rPr>
                  <a:t>測得此電量的次數 </a:t>
                </a:r>
                <a:r>
                  <a:rPr lang="en-US" altLang="zh-TW" sz="1400" b="0" i="0" baseline="0">
                    <a:effectLst/>
                  </a:rPr>
                  <a:t>N</a:t>
                </a:r>
                <a:endParaRPr lang="zh-TW" altLang="zh-TW" sz="1400">
                  <a:effectLst/>
                </a:endParaRPr>
              </a:p>
            </c:rich>
          </c:tx>
          <c:layout>
            <c:manualLayout>
              <c:xMode val="edge"/>
              <c:yMode val="edge"/>
              <c:x val="1.6766627652205258E-2"/>
              <c:y val="0.286823336149033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289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198120</xdr:rowOff>
    </xdr:from>
    <xdr:to>
      <xdr:col>17</xdr:col>
      <xdr:colOff>388620</xdr:colOff>
      <xdr:row>13</xdr:row>
      <xdr:rowOff>228600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4F11394C-98CC-9AFF-07E3-A71FEEF693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228299</xdr:colOff>
      <xdr:row>1</xdr:row>
      <xdr:rowOff>127702</xdr:rowOff>
    </xdr:from>
    <xdr:to>
      <xdr:col>23</xdr:col>
      <xdr:colOff>263236</xdr:colOff>
      <xdr:row>23</xdr:row>
      <xdr:rowOff>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3"/>
  <sheetViews>
    <sheetView tabSelected="1" topLeftCell="A8" zoomScale="85" zoomScaleNormal="85" workbookViewId="0">
      <selection activeCell="I52" sqref="I52:J52"/>
    </sheetView>
  </sheetViews>
  <sheetFormatPr defaultColWidth="9.77734375" defaultRowHeight="19.8" customHeight="1" x14ac:dyDescent="0.3"/>
  <cols>
    <col min="1" max="1" width="9.77734375" style="16"/>
    <col min="2" max="2" width="8.5546875" style="16" customWidth="1"/>
    <col min="3" max="3" width="9.77734375" style="16"/>
    <col min="4" max="4" width="11.88671875" style="16" bestFit="1" customWidth="1"/>
    <col min="5" max="5" width="9.77734375" style="16" customWidth="1"/>
    <col min="6" max="6" width="10.44140625" style="16" bestFit="1" customWidth="1"/>
    <col min="7" max="7" width="12.5546875" style="16" customWidth="1"/>
    <col min="8" max="8" width="9.77734375" style="16"/>
    <col min="9" max="9" width="22.109375" style="16" customWidth="1"/>
    <col min="10" max="16384" width="9.77734375" style="16"/>
  </cols>
  <sheetData>
    <row r="1" spans="1:10" ht="19.8" customHeight="1" thickTop="1" x14ac:dyDescent="0.3">
      <c r="A1" s="24" t="s">
        <v>12</v>
      </c>
      <c r="B1" s="19" t="s">
        <v>1</v>
      </c>
      <c r="C1" s="19" t="s">
        <v>2</v>
      </c>
      <c r="D1" s="19" t="s">
        <v>3</v>
      </c>
      <c r="E1" s="19" t="s">
        <v>9</v>
      </c>
      <c r="F1" s="19" t="s">
        <v>10</v>
      </c>
      <c r="G1" s="50" t="s">
        <v>6</v>
      </c>
      <c r="I1" s="24" t="s">
        <v>11</v>
      </c>
      <c r="J1" s="20" t="s">
        <v>7</v>
      </c>
    </row>
    <row r="2" spans="1:10" ht="19.8" customHeight="1" x14ac:dyDescent="0.3">
      <c r="A2" s="1">
        <v>1</v>
      </c>
      <c r="B2" s="58">
        <v>2</v>
      </c>
      <c r="C2" s="2">
        <f>B2*0.000382</f>
        <v>7.6400000000000003E-4</v>
      </c>
      <c r="D2" s="42">
        <v>27.55</v>
      </c>
      <c r="E2" s="21">
        <f xml:space="preserve"> C2/D2</f>
        <v>2.7731397459165155E-5</v>
      </c>
      <c r="F2" s="43">
        <v>47.7</v>
      </c>
      <c r="G2" s="25">
        <f xml:space="preserve"> 1.945*10^-10*E2^1.5/F2</f>
        <v>5.9546859220518858E-19</v>
      </c>
      <c r="I2" s="23">
        <f>0.1*10^-19</f>
        <v>1.0000000000000001E-20</v>
      </c>
      <c r="J2" s="17">
        <f xml:space="preserve"> COUNTIF($G$2:$G$151,"&lt;="&amp;I2)</f>
        <v>0</v>
      </c>
    </row>
    <row r="3" spans="1:10" ht="19.8" customHeight="1" x14ac:dyDescent="0.3">
      <c r="A3" s="1">
        <f xml:space="preserve"> A2+1</f>
        <v>2</v>
      </c>
      <c r="B3" s="58">
        <v>1</v>
      </c>
      <c r="C3" s="2">
        <f>B3*0.000382</f>
        <v>3.8200000000000002E-4</v>
      </c>
      <c r="D3" s="42">
        <v>34.5</v>
      </c>
      <c r="E3" s="21">
        <f t="shared" ref="E3:E66" si="0" xml:space="preserve"> C3/D3</f>
        <v>1.1072463768115943E-5</v>
      </c>
      <c r="F3" s="43">
        <v>44.5</v>
      </c>
      <c r="G3" s="25">
        <f t="shared" ref="G3:G66" si="1" xml:space="preserve"> 1.945*10^-10*E3^1.5/F3</f>
        <v>1.6103712053531429E-19</v>
      </c>
      <c r="I3" s="23">
        <f xml:space="preserve"> I2 + 0.1*10^-19</f>
        <v>2.0000000000000002E-20</v>
      </c>
      <c r="J3" s="17">
        <f xml:space="preserve"> COUNTIF($G$2:$G$151,"&lt;="&amp;I3)-SUM(J2)</f>
        <v>0</v>
      </c>
    </row>
    <row r="4" spans="1:10" ht="19.8" customHeight="1" x14ac:dyDescent="0.3">
      <c r="A4" s="1">
        <f t="shared" ref="A4:A50" si="2" xml:space="preserve"> A3+1</f>
        <v>3</v>
      </c>
      <c r="B4" s="58">
        <v>1</v>
      </c>
      <c r="C4" s="2">
        <f>B4*0.000382</f>
        <v>3.8200000000000002E-4</v>
      </c>
      <c r="D4" s="42">
        <v>9.25</v>
      </c>
      <c r="E4" s="21">
        <f t="shared" si="0"/>
        <v>4.1297297297297296E-5</v>
      </c>
      <c r="F4" s="43">
        <v>350.9</v>
      </c>
      <c r="G4" s="25">
        <f t="shared" si="1"/>
        <v>1.4710203565527296E-19</v>
      </c>
      <c r="I4" s="23">
        <f t="shared" ref="I4:I50" si="3" xml:space="preserve"> I3 + 0.1*10^-19</f>
        <v>3.0000000000000003E-20</v>
      </c>
      <c r="J4" s="17">
        <f xml:space="preserve"> COUNTIF($G$2:$G$151,"&lt;="&amp;I4)-SUM(J2:J3)</f>
        <v>0</v>
      </c>
    </row>
    <row r="5" spans="1:10" ht="19.8" customHeight="1" x14ac:dyDescent="0.3">
      <c r="A5" s="1">
        <f t="shared" si="2"/>
        <v>4</v>
      </c>
      <c r="B5" s="58">
        <v>1</v>
      </c>
      <c r="C5" s="2">
        <f>B5*0.000382</f>
        <v>3.8200000000000002E-4</v>
      </c>
      <c r="D5" s="42">
        <v>8.5299999999999994</v>
      </c>
      <c r="E5" s="21">
        <f t="shared" si="0"/>
        <v>4.4783118405627203E-5</v>
      </c>
      <c r="F5" s="43">
        <v>48.2</v>
      </c>
      <c r="G5" s="25">
        <f t="shared" si="1"/>
        <v>1.2093278793605447E-18</v>
      </c>
      <c r="I5" s="23">
        <f t="shared" si="3"/>
        <v>4.0000000000000004E-20</v>
      </c>
      <c r="J5" s="17">
        <f xml:space="preserve"> COUNTIF($G$2:$G$151,"&lt;="&amp;I5)-SUM(J2:J4)</f>
        <v>0</v>
      </c>
    </row>
    <row r="6" spans="1:10" ht="19.8" customHeight="1" x14ac:dyDescent="0.3">
      <c r="A6" s="1">
        <f t="shared" si="2"/>
        <v>5</v>
      </c>
      <c r="B6" s="58">
        <v>1</v>
      </c>
      <c r="C6" s="2">
        <f>B6*0.000382</f>
        <v>3.8200000000000002E-4</v>
      </c>
      <c r="D6" s="42">
        <v>13</v>
      </c>
      <c r="E6" s="21">
        <f t="shared" si="0"/>
        <v>2.9384615384615385E-5</v>
      </c>
      <c r="F6" s="43">
        <v>200</v>
      </c>
      <c r="G6" s="25">
        <f t="shared" si="1"/>
        <v>1.5490649444336645E-19</v>
      </c>
      <c r="I6" s="23">
        <f t="shared" si="3"/>
        <v>5.0000000000000005E-20</v>
      </c>
      <c r="J6" s="17">
        <f xml:space="preserve"> COUNTIF($G$2:$G$151,"&lt;="&amp;I6)-SUM(J2:J5)</f>
        <v>0</v>
      </c>
    </row>
    <row r="7" spans="1:10" ht="19.8" customHeight="1" x14ac:dyDescent="0.3">
      <c r="A7" s="1">
        <f t="shared" si="2"/>
        <v>6</v>
      </c>
      <c r="B7" s="58">
        <v>1</v>
      </c>
      <c r="C7" s="2">
        <f>B7*0.000382</f>
        <v>3.8200000000000002E-4</v>
      </c>
      <c r="D7" s="42">
        <v>9.41</v>
      </c>
      <c r="E7" s="21">
        <f t="shared" si="0"/>
        <v>4.0595111583421892E-5</v>
      </c>
      <c r="F7" s="43">
        <v>51.5</v>
      </c>
      <c r="G7" s="25">
        <f t="shared" si="1"/>
        <v>9.7683898985391823E-19</v>
      </c>
      <c r="I7" s="23">
        <f t="shared" si="3"/>
        <v>6.0000000000000006E-20</v>
      </c>
      <c r="J7" s="17">
        <f xml:space="preserve"> COUNTIF($G$2:$G$151,"&lt;="&amp;I7)-SUM(J2:J6)</f>
        <v>0</v>
      </c>
    </row>
    <row r="8" spans="1:10" ht="19.8" customHeight="1" x14ac:dyDescent="0.3">
      <c r="A8" s="1">
        <f t="shared" si="2"/>
        <v>7</v>
      </c>
      <c r="B8" s="58">
        <v>1</v>
      </c>
      <c r="C8" s="2">
        <f>B8*0.000382</f>
        <v>3.8200000000000002E-4</v>
      </c>
      <c r="D8" s="42">
        <v>8.9</v>
      </c>
      <c r="E8" s="21">
        <f t="shared" si="0"/>
        <v>4.2921348314606742E-5</v>
      </c>
      <c r="F8" s="43">
        <v>51.5</v>
      </c>
      <c r="G8" s="25">
        <f t="shared" si="1"/>
        <v>1.0619948507882894E-18</v>
      </c>
      <c r="I8" s="23">
        <f t="shared" si="3"/>
        <v>7.0000000000000013E-20</v>
      </c>
      <c r="J8" s="17">
        <f xml:space="preserve"> COUNTIF($G$2:$G$151,"&lt;="&amp;I8)-SUM(J2:J7)</f>
        <v>0</v>
      </c>
    </row>
    <row r="9" spans="1:10" ht="19.8" customHeight="1" x14ac:dyDescent="0.3">
      <c r="A9" s="1">
        <f t="shared" si="2"/>
        <v>8</v>
      </c>
      <c r="B9" s="58">
        <v>1</v>
      </c>
      <c r="C9" s="2">
        <f>B9*0.000382</f>
        <v>3.8200000000000002E-4</v>
      </c>
      <c r="D9" s="42">
        <v>8.2799999999999994</v>
      </c>
      <c r="E9" s="21">
        <f t="shared" si="0"/>
        <v>4.6135265700483098E-5</v>
      </c>
      <c r="F9" s="43">
        <v>51.5</v>
      </c>
      <c r="G9" s="25">
        <f t="shared" si="1"/>
        <v>1.1834827053436685E-18</v>
      </c>
      <c r="I9" s="23">
        <f t="shared" si="3"/>
        <v>8.0000000000000008E-20</v>
      </c>
      <c r="J9" s="17">
        <f xml:space="preserve"> COUNTIF($G$2:$G$151,"&lt;="&amp;I9)-SUM(J2:J8)</f>
        <v>0</v>
      </c>
    </row>
    <row r="10" spans="1:10" ht="19.8" customHeight="1" x14ac:dyDescent="0.3">
      <c r="A10" s="1">
        <f t="shared" si="2"/>
        <v>9</v>
      </c>
      <c r="B10" s="58">
        <v>1</v>
      </c>
      <c r="C10" s="2">
        <f>B10*0.000382</f>
        <v>3.8200000000000002E-4</v>
      </c>
      <c r="D10" s="42">
        <v>30.23</v>
      </c>
      <c r="E10" s="21">
        <f t="shared" si="0"/>
        <v>1.2636453853787628E-5</v>
      </c>
      <c r="F10" s="43">
        <v>51.5</v>
      </c>
      <c r="G10" s="25">
        <f t="shared" si="1"/>
        <v>1.6964856881851388E-19</v>
      </c>
      <c r="I10" s="23">
        <f t="shared" si="3"/>
        <v>9.0000000000000003E-20</v>
      </c>
      <c r="J10" s="17">
        <f xml:space="preserve"> COUNTIF($G$2:$G$151,"&lt;="&amp;I10)-SUM(J2:J9)</f>
        <v>0</v>
      </c>
    </row>
    <row r="11" spans="1:10" ht="19.8" customHeight="1" x14ac:dyDescent="0.3">
      <c r="A11" s="1">
        <f t="shared" si="2"/>
        <v>10</v>
      </c>
      <c r="B11" s="58">
        <v>1</v>
      </c>
      <c r="C11" s="2">
        <f t="shared" ref="C11:C67" si="4">B11*0.000382</f>
        <v>3.8200000000000002E-4</v>
      </c>
      <c r="D11" s="42">
        <v>8.6999999999999993</v>
      </c>
      <c r="E11" s="21">
        <f t="shared" si="0"/>
        <v>4.3908045977011498E-5</v>
      </c>
      <c r="F11" s="43">
        <v>352.4</v>
      </c>
      <c r="G11" s="25">
        <f t="shared" si="1"/>
        <v>1.6058311249754544E-19</v>
      </c>
      <c r="I11" s="23">
        <f t="shared" si="3"/>
        <v>9.9999999999999998E-20</v>
      </c>
      <c r="J11" s="17">
        <f xml:space="preserve"> COUNTIF($G$2:$G$151,"&lt;="&amp;I11)-SUM(J2:J10)</f>
        <v>0</v>
      </c>
    </row>
    <row r="12" spans="1:10" ht="19.8" customHeight="1" x14ac:dyDescent="0.3">
      <c r="A12" s="1">
        <f t="shared" si="2"/>
        <v>11</v>
      </c>
      <c r="B12" s="58">
        <v>1</v>
      </c>
      <c r="C12" s="2">
        <f t="shared" si="4"/>
        <v>3.8200000000000002E-4</v>
      </c>
      <c r="D12" s="42">
        <v>9.7799999999999994</v>
      </c>
      <c r="E12" s="21">
        <f t="shared" si="0"/>
        <v>3.9059304703476487E-5</v>
      </c>
      <c r="F12" s="43">
        <v>352.4</v>
      </c>
      <c r="G12" s="25">
        <f t="shared" si="1"/>
        <v>1.3473191049417388E-19</v>
      </c>
      <c r="I12" s="23">
        <f t="shared" si="3"/>
        <v>1.0999999999999999E-19</v>
      </c>
      <c r="J12" s="17">
        <f xml:space="preserve"> COUNTIF($G$2:$G$151,"&lt;="&amp;I12)-SUM(J2:J11)</f>
        <v>0</v>
      </c>
    </row>
    <row r="13" spans="1:10" ht="19.8" customHeight="1" x14ac:dyDescent="0.3">
      <c r="A13" s="1">
        <f t="shared" si="2"/>
        <v>12</v>
      </c>
      <c r="B13" s="58">
        <v>3</v>
      </c>
      <c r="C13" s="2">
        <f t="shared" si="4"/>
        <v>1.1460000000000001E-3</v>
      </c>
      <c r="D13" s="42">
        <v>41.22</v>
      </c>
      <c r="E13" s="21">
        <f t="shared" si="0"/>
        <v>2.7802037845705972E-5</v>
      </c>
      <c r="F13" s="43">
        <v>194.7</v>
      </c>
      <c r="G13" s="25">
        <f t="shared" si="1"/>
        <v>1.4644299401791421E-19</v>
      </c>
      <c r="I13" s="23">
        <f t="shared" si="3"/>
        <v>1.1999999999999999E-19</v>
      </c>
      <c r="J13" s="17">
        <f xml:space="preserve"> COUNTIF($G$2:$G$151,"&lt;="&amp;I13)-SUM(J2:J12)</f>
        <v>0</v>
      </c>
    </row>
    <row r="14" spans="1:10" ht="19.8" customHeight="1" x14ac:dyDescent="0.3">
      <c r="A14" s="1">
        <f t="shared" si="2"/>
        <v>13</v>
      </c>
      <c r="B14" s="58">
        <v>2</v>
      </c>
      <c r="C14" s="2">
        <f t="shared" si="4"/>
        <v>7.6400000000000003E-4</v>
      </c>
      <c r="D14" s="42">
        <v>28.91</v>
      </c>
      <c r="E14" s="21">
        <f t="shared" si="0"/>
        <v>2.6426841923209962E-5</v>
      </c>
      <c r="F14" s="43">
        <v>210.6</v>
      </c>
      <c r="G14" s="25">
        <f t="shared" si="1"/>
        <v>1.254668917569428E-19</v>
      </c>
      <c r="I14" s="23">
        <f t="shared" si="3"/>
        <v>1.2999999999999998E-19</v>
      </c>
      <c r="J14" s="17">
        <f xml:space="preserve"> COUNTIF($G$2:$G$151,"&lt;="&amp;I14)-SUM(J2:J13)</f>
        <v>2</v>
      </c>
    </row>
    <row r="15" spans="1:10" ht="19.8" customHeight="1" x14ac:dyDescent="0.3">
      <c r="A15" s="1">
        <f t="shared" si="2"/>
        <v>14</v>
      </c>
      <c r="B15" s="58">
        <v>2</v>
      </c>
      <c r="C15" s="2">
        <f t="shared" si="4"/>
        <v>7.6400000000000003E-4</v>
      </c>
      <c r="D15" s="42">
        <v>21.21</v>
      </c>
      <c r="E15" s="21">
        <f t="shared" si="0"/>
        <v>3.602074493163602E-5</v>
      </c>
      <c r="F15" s="43">
        <v>127.8</v>
      </c>
      <c r="G15" s="25">
        <f t="shared" si="1"/>
        <v>3.2901658242406406E-19</v>
      </c>
      <c r="I15" s="23">
        <f t="shared" si="3"/>
        <v>1.3999999999999998E-19</v>
      </c>
      <c r="J15" s="17">
        <f xml:space="preserve"> COUNTIF($G$2:$G$151,"&lt;="&amp;I15)-SUM(J2:J14)</f>
        <v>1</v>
      </c>
    </row>
    <row r="16" spans="1:10" ht="19.8" customHeight="1" x14ac:dyDescent="0.3">
      <c r="A16" s="1">
        <f t="shared" si="2"/>
        <v>15</v>
      </c>
      <c r="B16" s="58">
        <v>2</v>
      </c>
      <c r="C16" s="2">
        <f t="shared" si="4"/>
        <v>7.6400000000000003E-4</v>
      </c>
      <c r="D16" s="42">
        <v>20.13</v>
      </c>
      <c r="E16" s="21">
        <f t="shared" si="0"/>
        <v>3.795330352707402E-5</v>
      </c>
      <c r="F16" s="43">
        <v>285</v>
      </c>
      <c r="G16" s="25">
        <f t="shared" si="1"/>
        <v>1.5956921964712223E-19</v>
      </c>
      <c r="I16" s="23">
        <f t="shared" si="3"/>
        <v>1.4999999999999997E-19</v>
      </c>
      <c r="J16" s="17">
        <f xml:space="preserve"> COUNTIF($G$2:$G$151,"&lt;="&amp;I16)-SUM(J2:J15)</f>
        <v>3</v>
      </c>
    </row>
    <row r="17" spans="1:16" ht="19.8" customHeight="1" x14ac:dyDescent="0.3">
      <c r="A17" s="1">
        <f t="shared" si="2"/>
        <v>16</v>
      </c>
      <c r="B17" s="58">
        <v>1</v>
      </c>
      <c r="C17" s="2">
        <f t="shared" si="4"/>
        <v>3.8200000000000002E-4</v>
      </c>
      <c r="D17" s="42">
        <v>11.32</v>
      </c>
      <c r="E17" s="21">
        <f t="shared" si="0"/>
        <v>3.3745583038869255E-5</v>
      </c>
      <c r="F17" s="43">
        <v>250.1</v>
      </c>
      <c r="G17" s="25">
        <f t="shared" si="1"/>
        <v>1.5245136527025472E-19</v>
      </c>
      <c r="I17" s="23">
        <f t="shared" si="3"/>
        <v>1.5999999999999997E-19</v>
      </c>
      <c r="J17" s="17">
        <f xml:space="preserve"> COUNTIF($G$2:$G$151,"&lt;="&amp;I17)-SUM(J2:J16)</f>
        <v>4</v>
      </c>
    </row>
    <row r="18" spans="1:16" ht="19.8" customHeight="1" x14ac:dyDescent="0.3">
      <c r="A18" s="1">
        <f t="shared" si="2"/>
        <v>17</v>
      </c>
      <c r="B18" s="58">
        <v>2</v>
      </c>
      <c r="C18" s="2">
        <f t="shared" si="4"/>
        <v>7.6400000000000003E-4</v>
      </c>
      <c r="D18" s="42">
        <v>20.29</v>
      </c>
      <c r="E18" s="21">
        <f t="shared" si="0"/>
        <v>3.7654016757023167E-5</v>
      </c>
      <c r="F18" s="43">
        <v>241.6</v>
      </c>
      <c r="G18" s="25">
        <f t="shared" si="1"/>
        <v>1.8601143493916239E-19</v>
      </c>
      <c r="I18" s="23">
        <f t="shared" si="3"/>
        <v>1.6999999999999996E-19</v>
      </c>
      <c r="J18" s="17">
        <f xml:space="preserve"> COUNTIF($G$2:$G$151,"&lt;="&amp;I18)-SUM(J2:J17)</f>
        <v>5</v>
      </c>
    </row>
    <row r="19" spans="1:16" ht="19.8" customHeight="1" x14ac:dyDescent="0.3">
      <c r="A19" s="1">
        <f t="shared" si="2"/>
        <v>18</v>
      </c>
      <c r="B19" s="58">
        <v>1</v>
      </c>
      <c r="C19" s="2">
        <f t="shared" si="4"/>
        <v>3.8200000000000002E-4</v>
      </c>
      <c r="D19" s="42">
        <v>11.7</v>
      </c>
      <c r="E19" s="21">
        <f t="shared" si="0"/>
        <v>3.264957264957265E-5</v>
      </c>
      <c r="F19" s="43">
        <v>241.6</v>
      </c>
      <c r="G19" s="25">
        <f t="shared" si="1"/>
        <v>1.501892772851532E-19</v>
      </c>
      <c r="I19" s="23">
        <f t="shared" si="3"/>
        <v>1.7999999999999996E-19</v>
      </c>
      <c r="J19" s="17">
        <f xml:space="preserve"> COUNTIF($G$2:$G$151,"&lt;="&amp;I19)-SUM(J2:J18)</f>
        <v>2</v>
      </c>
    </row>
    <row r="20" spans="1:16" ht="19.8" customHeight="1" x14ac:dyDescent="0.3">
      <c r="A20" s="1">
        <f t="shared" si="2"/>
        <v>19</v>
      </c>
      <c r="B20" s="58">
        <v>1</v>
      </c>
      <c r="C20" s="2">
        <f t="shared" si="4"/>
        <v>3.8200000000000002E-4</v>
      </c>
      <c r="D20" s="42">
        <v>18.78</v>
      </c>
      <c r="E20" s="21">
        <f t="shared" si="0"/>
        <v>2.0340788072417465E-5</v>
      </c>
      <c r="F20" s="43">
        <v>125.1</v>
      </c>
      <c r="G20" s="25">
        <f t="shared" si="1"/>
        <v>1.4263101029322949E-19</v>
      </c>
      <c r="I20" s="23">
        <f t="shared" si="3"/>
        <v>1.8999999999999995E-19</v>
      </c>
      <c r="J20" s="17">
        <f xml:space="preserve"> COUNTIF($G$2:$G$151,"&lt;="&amp;I20)-SUM(J2:J19)</f>
        <v>1</v>
      </c>
    </row>
    <row r="21" spans="1:16" ht="19.8" customHeight="1" x14ac:dyDescent="0.3">
      <c r="A21" s="1">
        <f t="shared" si="2"/>
        <v>20</v>
      </c>
      <c r="B21" s="58">
        <v>2</v>
      </c>
      <c r="C21" s="2">
        <f t="shared" si="4"/>
        <v>7.6400000000000003E-4</v>
      </c>
      <c r="D21" s="42">
        <v>30.8</v>
      </c>
      <c r="E21" s="21">
        <f t="shared" si="0"/>
        <v>2.4805194805194806E-5</v>
      </c>
      <c r="F21" s="43">
        <v>125.1</v>
      </c>
      <c r="G21" s="25">
        <f t="shared" si="1"/>
        <v>1.9207739588404894E-19</v>
      </c>
      <c r="I21" s="23">
        <f t="shared" si="3"/>
        <v>1.9999999999999995E-19</v>
      </c>
      <c r="J21" s="17">
        <f xml:space="preserve"> COUNTIF($G$2:$G$151,"&lt;="&amp;I21)-SUM(J2:J20)</f>
        <v>1</v>
      </c>
    </row>
    <row r="22" spans="1:16" ht="19.8" customHeight="1" x14ac:dyDescent="0.3">
      <c r="A22" s="1">
        <f t="shared" si="2"/>
        <v>21</v>
      </c>
      <c r="B22" s="58">
        <v>1</v>
      </c>
      <c r="C22" s="2">
        <f t="shared" si="4"/>
        <v>3.8200000000000002E-4</v>
      </c>
      <c r="D22" s="42">
        <v>20.100000000000001</v>
      </c>
      <c r="E22" s="21">
        <f t="shared" si="0"/>
        <v>1.9004975124378108E-5</v>
      </c>
      <c r="F22" s="43">
        <v>125.1</v>
      </c>
      <c r="G22" s="25">
        <f t="shared" si="1"/>
        <v>1.2881405570980911E-19</v>
      </c>
      <c r="I22" s="23">
        <f t="shared" si="3"/>
        <v>2.0999999999999994E-19</v>
      </c>
      <c r="J22" s="17">
        <f xml:space="preserve"> COUNTIF($G$2:$G$151,"&lt;="&amp;I22)-SUM(J2:J21)</f>
        <v>0</v>
      </c>
    </row>
    <row r="23" spans="1:16" ht="19.8" customHeight="1" x14ac:dyDescent="0.3">
      <c r="A23" s="1">
        <f t="shared" si="2"/>
        <v>22</v>
      </c>
      <c r="B23" s="58">
        <v>2</v>
      </c>
      <c r="C23" s="2">
        <f t="shared" si="4"/>
        <v>7.6400000000000003E-4</v>
      </c>
      <c r="D23" s="42">
        <v>13.17</v>
      </c>
      <c r="E23" s="21">
        <f t="shared" si="0"/>
        <v>5.8010630220197421E-5</v>
      </c>
      <c r="F23" s="43">
        <v>284.3</v>
      </c>
      <c r="G23" s="25">
        <f t="shared" si="1"/>
        <v>3.0227631654900422E-19</v>
      </c>
      <c r="I23" s="23">
        <f t="shared" si="3"/>
        <v>2.1999999999999994E-19</v>
      </c>
      <c r="J23" s="17">
        <f xml:space="preserve"> COUNTIF($G$2:$G$151,"&lt;="&amp;I23)-SUM(J2:J22)</f>
        <v>0</v>
      </c>
    </row>
    <row r="24" spans="1:16" ht="19.8" customHeight="1" x14ac:dyDescent="0.3">
      <c r="A24" s="1">
        <f t="shared" si="2"/>
        <v>23</v>
      </c>
      <c r="B24" s="58">
        <v>3</v>
      </c>
      <c r="C24" s="2">
        <f t="shared" si="4"/>
        <v>1.1460000000000001E-3</v>
      </c>
      <c r="D24" s="42">
        <v>25.18</v>
      </c>
      <c r="E24" s="21">
        <f t="shared" si="0"/>
        <v>4.5512311358220816E-5</v>
      </c>
      <c r="F24" s="43">
        <v>351</v>
      </c>
      <c r="G24" s="25">
        <f t="shared" si="1"/>
        <v>1.7013976436181344E-19</v>
      </c>
      <c r="I24" s="23">
        <f t="shared" si="3"/>
        <v>2.2999999999999993E-19</v>
      </c>
      <c r="J24" s="17">
        <f xml:space="preserve"> COUNTIF($G$2:$G$151,"&lt;="&amp;I24)-SUM(J2:J23)</f>
        <v>0</v>
      </c>
    </row>
    <row r="25" spans="1:16" ht="19.8" customHeight="1" x14ac:dyDescent="0.3">
      <c r="A25" s="1">
        <f t="shared" si="2"/>
        <v>24</v>
      </c>
      <c r="B25" s="58">
        <v>3</v>
      </c>
      <c r="C25" s="2">
        <f t="shared" si="4"/>
        <v>1.1460000000000001E-3</v>
      </c>
      <c r="D25" s="42">
        <v>20.52</v>
      </c>
      <c r="E25" s="21">
        <f t="shared" si="0"/>
        <v>5.5847953216374278E-5</v>
      </c>
      <c r="F25" s="43">
        <v>261.3</v>
      </c>
      <c r="G25" s="25">
        <f t="shared" si="1"/>
        <v>3.106641129886583E-19</v>
      </c>
      <c r="I25" s="23">
        <f t="shared" si="3"/>
        <v>2.3999999999999993E-19</v>
      </c>
      <c r="J25" s="17">
        <f xml:space="preserve"> COUNTIF($G$2:$G$151,"&lt;="&amp;I25)-SUM(J2:J24)</f>
        <v>0</v>
      </c>
    </row>
    <row r="26" spans="1:16" ht="19.8" customHeight="1" x14ac:dyDescent="0.3">
      <c r="A26" s="41">
        <f t="shared" si="2"/>
        <v>25</v>
      </c>
      <c r="B26" s="58">
        <v>1</v>
      </c>
      <c r="C26" s="2">
        <f t="shared" si="4"/>
        <v>3.8200000000000002E-4</v>
      </c>
      <c r="D26" s="42">
        <v>11.98</v>
      </c>
      <c r="E26" s="52">
        <f t="shared" si="0"/>
        <v>3.1886477462437398E-5</v>
      </c>
      <c r="F26" s="43">
        <v>205.6</v>
      </c>
      <c r="G26" s="52">
        <f t="shared" si="1"/>
        <v>1.703359482802157E-19</v>
      </c>
      <c r="I26" s="23">
        <f t="shared" si="3"/>
        <v>2.4999999999999992E-19</v>
      </c>
      <c r="J26" s="17">
        <f xml:space="preserve"> COUNTIF($G$2:$G$151,"&lt;="&amp;I26)-SUM(J2:J25)</f>
        <v>0</v>
      </c>
    </row>
    <row r="27" spans="1:16" ht="19.8" customHeight="1" x14ac:dyDescent="0.3">
      <c r="A27" s="7">
        <f t="shared" si="2"/>
        <v>26</v>
      </c>
      <c r="B27" s="60">
        <v>1</v>
      </c>
      <c r="C27" s="8">
        <f t="shared" si="4"/>
        <v>3.8200000000000002E-4</v>
      </c>
      <c r="D27" s="71">
        <v>8.7200000000000006</v>
      </c>
      <c r="E27" s="54">
        <f t="shared" si="0"/>
        <v>4.380733944954128E-5</v>
      </c>
      <c r="F27" s="72">
        <v>350.9</v>
      </c>
      <c r="G27" s="27">
        <f t="shared" si="1"/>
        <v>1.6071505247025555E-19</v>
      </c>
      <c r="I27" s="23">
        <f t="shared" si="3"/>
        <v>2.5999999999999992E-19</v>
      </c>
      <c r="J27" s="17">
        <f xml:space="preserve"> COUNTIF($G$2:$G$151,"&lt;="&amp;I27)-SUM(J2:J26)</f>
        <v>0</v>
      </c>
    </row>
    <row r="28" spans="1:16" ht="19.8" customHeight="1" x14ac:dyDescent="0.3">
      <c r="A28" s="1">
        <f t="shared" si="2"/>
        <v>27</v>
      </c>
      <c r="B28" s="58">
        <v>2</v>
      </c>
      <c r="C28" s="2">
        <f t="shared" si="4"/>
        <v>7.6400000000000003E-4</v>
      </c>
      <c r="D28" s="42">
        <v>10.95</v>
      </c>
      <c r="E28" s="21">
        <f t="shared" si="0"/>
        <v>6.9771689497716903E-5</v>
      </c>
      <c r="F28" s="43">
        <v>355.9</v>
      </c>
      <c r="G28" s="25">
        <f t="shared" si="1"/>
        <v>3.1850076277215292E-19</v>
      </c>
      <c r="I28" s="23">
        <f t="shared" si="3"/>
        <v>2.6999999999999991E-19</v>
      </c>
      <c r="J28" s="17">
        <f xml:space="preserve"> COUNTIF($G$2:$G$151,"&lt;="&amp;I28)-SUM(J2:J27)</f>
        <v>0</v>
      </c>
    </row>
    <row r="29" spans="1:16" ht="19.8" customHeight="1" x14ac:dyDescent="0.3">
      <c r="A29" s="1">
        <f t="shared" si="2"/>
        <v>28</v>
      </c>
      <c r="B29" s="58">
        <v>1</v>
      </c>
      <c r="C29" s="2">
        <f t="shared" si="4"/>
        <v>3.8200000000000002E-4</v>
      </c>
      <c r="D29" s="42">
        <v>14.91</v>
      </c>
      <c r="E29" s="21">
        <f t="shared" si="0"/>
        <v>2.562038900067069E-5</v>
      </c>
      <c r="F29" s="43">
        <v>157.5</v>
      </c>
      <c r="G29" s="25">
        <f t="shared" si="1"/>
        <v>1.6014656457632626E-19</v>
      </c>
      <c r="I29" s="23">
        <f t="shared" si="3"/>
        <v>2.7999999999999991E-19</v>
      </c>
      <c r="J29" s="17">
        <f xml:space="preserve"> COUNTIF($G$2:$G$151,"&lt;="&amp;I29)-SUM(J2:J28)</f>
        <v>0</v>
      </c>
    </row>
    <row r="30" spans="1:16" ht="19.8" customHeight="1" x14ac:dyDescent="0.3">
      <c r="A30" s="1">
        <f t="shared" si="2"/>
        <v>29</v>
      </c>
      <c r="B30" s="58">
        <v>3</v>
      </c>
      <c r="C30" s="2">
        <f t="shared" si="4"/>
        <v>1.1460000000000001E-3</v>
      </c>
      <c r="D30" s="42">
        <v>17.5</v>
      </c>
      <c r="E30" s="52">
        <f t="shared" si="0"/>
        <v>6.548571428571429E-5</v>
      </c>
      <c r="F30" s="43">
        <v>302.5</v>
      </c>
      <c r="G30" s="25">
        <f t="shared" si="1"/>
        <v>3.4073290824810317E-19</v>
      </c>
      <c r="I30" s="23">
        <f t="shared" si="3"/>
        <v>2.899999999999999E-19</v>
      </c>
      <c r="J30" s="17">
        <f xml:space="preserve"> COUNTIF($G$2:$G$151,"&lt;="&amp;I30)-SUM(J2:J29)</f>
        <v>0</v>
      </c>
    </row>
    <row r="31" spans="1:16" ht="19.8" customHeight="1" x14ac:dyDescent="0.3">
      <c r="A31" s="1">
        <f t="shared" si="2"/>
        <v>30</v>
      </c>
      <c r="B31" s="61">
        <v>3</v>
      </c>
      <c r="C31" s="13">
        <f>B31*0.000382</f>
        <v>1.1460000000000001E-3</v>
      </c>
      <c r="D31" s="71">
        <v>16.63</v>
      </c>
      <c r="E31" s="54">
        <f t="shared" si="0"/>
        <v>6.8911605532170783E-5</v>
      </c>
      <c r="F31" s="72">
        <v>351.4</v>
      </c>
      <c r="G31" s="25">
        <f t="shared" si="1"/>
        <v>3.1663316430888452E-19</v>
      </c>
      <c r="I31" s="23">
        <f t="shared" si="3"/>
        <v>2.999999999999999E-19</v>
      </c>
      <c r="J31" s="17">
        <f xml:space="preserve"> COUNTIF($G$2:$G$151,"&lt;="&amp;I31)-SUM(J2:J30)</f>
        <v>0</v>
      </c>
    </row>
    <row r="32" spans="1:16" ht="19.8" customHeight="1" x14ac:dyDescent="0.3">
      <c r="A32" s="1">
        <f t="shared" si="2"/>
        <v>31</v>
      </c>
      <c r="C32" s="2">
        <f>L32*0.000382</f>
        <v>0</v>
      </c>
      <c r="E32" s="21" t="e">
        <f xml:space="preserve"> C32/N32</f>
        <v>#DIV/0!</v>
      </c>
      <c r="G32" s="25" t="e">
        <f xml:space="preserve"> 1.945*10^-10*E32^1.5/P32</f>
        <v>#DIV/0!</v>
      </c>
      <c r="I32" s="23">
        <f t="shared" si="3"/>
        <v>3.0999999999999989E-19</v>
      </c>
      <c r="J32" s="17">
        <f xml:space="preserve"> COUNTIF($G$2:$G$151,"&lt;="&amp;I32)-SUM(J2:J31)</f>
        <v>1</v>
      </c>
      <c r="L32" s="64"/>
      <c r="M32" s="65"/>
      <c r="N32" s="66"/>
      <c r="O32" s="65"/>
      <c r="P32" s="67"/>
    </row>
    <row r="33" spans="1:16" ht="19.8" customHeight="1" x14ac:dyDescent="0.3">
      <c r="A33" s="1">
        <f t="shared" si="2"/>
        <v>32</v>
      </c>
      <c r="C33" s="2">
        <f>L33*0.000382</f>
        <v>0</v>
      </c>
      <c r="E33" s="21" t="e">
        <f xml:space="preserve"> C33/N33</f>
        <v>#DIV/0!</v>
      </c>
      <c r="G33" s="25" t="e">
        <f xml:space="preserve"> 1.945*10^-10*E33^1.5/P33</f>
        <v>#DIV/0!</v>
      </c>
      <c r="I33" s="23">
        <f t="shared" si="3"/>
        <v>3.1999999999999989E-19</v>
      </c>
      <c r="J33" s="17">
        <f xml:space="preserve"> COUNTIF($G$2:$G$151,"&lt;="&amp;I33)-SUM(J2:J32)</f>
        <v>3</v>
      </c>
      <c r="L33" s="64"/>
      <c r="M33" s="65"/>
      <c r="N33" s="66"/>
      <c r="O33" s="65"/>
      <c r="P33" s="67"/>
    </row>
    <row r="34" spans="1:16" ht="19.8" customHeight="1" x14ac:dyDescent="0.3">
      <c r="A34" s="1">
        <f t="shared" si="2"/>
        <v>33</v>
      </c>
      <c r="C34" s="2">
        <f>L34*0.000382</f>
        <v>0</v>
      </c>
      <c r="E34" s="21" t="e">
        <f xml:space="preserve"> C34/N34</f>
        <v>#DIV/0!</v>
      </c>
      <c r="G34" s="25" t="e">
        <f xml:space="preserve"> 1.945*10^-10*E34^1.5/P34</f>
        <v>#DIV/0!</v>
      </c>
      <c r="I34" s="23">
        <f t="shared" si="3"/>
        <v>3.2999999999999988E-19</v>
      </c>
      <c r="J34" s="17">
        <f xml:space="preserve"> COUNTIF($G$2:$G$151,"&lt;="&amp;I34)-SUM(J2:J33)</f>
        <v>1</v>
      </c>
      <c r="L34" s="64"/>
      <c r="M34" s="65"/>
      <c r="N34" s="66"/>
      <c r="O34" s="65"/>
      <c r="P34" s="67"/>
    </row>
    <row r="35" spans="1:16" ht="19.8" customHeight="1" x14ac:dyDescent="0.3">
      <c r="A35" s="1">
        <f t="shared" si="2"/>
        <v>34</v>
      </c>
      <c r="C35" s="2">
        <f>L35*0.000382</f>
        <v>0</v>
      </c>
      <c r="E35" s="21" t="e">
        <f xml:space="preserve"> C35/N35</f>
        <v>#DIV/0!</v>
      </c>
      <c r="G35" s="25" t="e">
        <f xml:space="preserve"> 1.945*10^-10*E35^1.5/P35</f>
        <v>#DIV/0!</v>
      </c>
      <c r="I35" s="23">
        <f t="shared" si="3"/>
        <v>3.3999999999999988E-19</v>
      </c>
      <c r="J35" s="17">
        <f xml:space="preserve"> COUNTIF($G$2:$G$151,"&lt;="&amp;I35)-SUM(J2:J34)</f>
        <v>0</v>
      </c>
      <c r="L35" s="64"/>
      <c r="M35" s="65"/>
      <c r="N35" s="66"/>
      <c r="O35" s="65"/>
      <c r="P35" s="67"/>
    </row>
    <row r="36" spans="1:16" ht="19.8" customHeight="1" x14ac:dyDescent="0.3">
      <c r="A36" s="1">
        <f t="shared" si="2"/>
        <v>35</v>
      </c>
      <c r="C36" s="2">
        <f>L36*0.000382</f>
        <v>0</v>
      </c>
      <c r="E36" s="21" t="e">
        <f xml:space="preserve"> C36/N36</f>
        <v>#DIV/0!</v>
      </c>
      <c r="G36" s="25" t="e">
        <f xml:space="preserve"> 1.945*10^-10*E36^1.5/P36</f>
        <v>#DIV/0!</v>
      </c>
      <c r="I36" s="23">
        <f t="shared" si="3"/>
        <v>3.4999999999999987E-19</v>
      </c>
      <c r="J36" s="17">
        <f xml:space="preserve"> COUNTIF($G$2:$G$151,"&lt;="&amp;I36)-SUM(J2:J35)</f>
        <v>1</v>
      </c>
      <c r="L36" s="64"/>
      <c r="M36" s="65"/>
      <c r="N36" s="66"/>
      <c r="O36" s="65"/>
      <c r="P36" s="67"/>
    </row>
    <row r="37" spans="1:16" ht="19.8" customHeight="1" x14ac:dyDescent="0.3">
      <c r="A37" s="1">
        <f t="shared" si="2"/>
        <v>36</v>
      </c>
      <c r="C37" s="2">
        <f>L37*0.000382</f>
        <v>0</v>
      </c>
      <c r="E37" s="21" t="e">
        <f xml:space="preserve"> C37/N37</f>
        <v>#DIV/0!</v>
      </c>
      <c r="G37" s="25" t="e">
        <f xml:space="preserve"> 1.945*10^-10*E37^1.5/P37</f>
        <v>#DIV/0!</v>
      </c>
      <c r="I37" s="23">
        <f t="shared" si="3"/>
        <v>3.5999999999999987E-19</v>
      </c>
      <c r="J37" s="17">
        <f xml:space="preserve"> COUNTIF($G$2:$G$151,"&lt;="&amp;I37)-SUM(J2:J36)</f>
        <v>0</v>
      </c>
      <c r="L37" s="64"/>
      <c r="M37" s="65"/>
      <c r="N37" s="66"/>
      <c r="O37" s="65"/>
      <c r="P37" s="67"/>
    </row>
    <row r="38" spans="1:16" ht="19.8" customHeight="1" x14ac:dyDescent="0.3">
      <c r="A38" s="1">
        <f t="shared" si="2"/>
        <v>37</v>
      </c>
      <c r="C38" s="2">
        <f>L38*0.000382</f>
        <v>0</v>
      </c>
      <c r="E38" s="21" t="e">
        <f xml:space="preserve"> C38/N38</f>
        <v>#DIV/0!</v>
      </c>
      <c r="G38" s="25" t="e">
        <f xml:space="preserve"> 1.945*10^-10*E38^1.5/P38</f>
        <v>#DIV/0!</v>
      </c>
      <c r="I38" s="23">
        <f t="shared" si="3"/>
        <v>3.6999999999999986E-19</v>
      </c>
      <c r="J38" s="17">
        <f xml:space="preserve"> COUNTIF($G$2:$G$151,"&lt;="&amp;I38)-SUM(J2:J37)</f>
        <v>0</v>
      </c>
      <c r="L38" s="64"/>
      <c r="M38" s="65"/>
      <c r="N38" s="66"/>
      <c r="O38" s="65"/>
      <c r="P38" s="67"/>
    </row>
    <row r="39" spans="1:16" ht="19.8" customHeight="1" x14ac:dyDescent="0.3">
      <c r="A39" s="1">
        <f t="shared" si="2"/>
        <v>38</v>
      </c>
      <c r="C39" s="2">
        <f>L39*0.000382</f>
        <v>0</v>
      </c>
      <c r="E39" s="21" t="e">
        <f xml:space="preserve"> C39/N39</f>
        <v>#DIV/0!</v>
      </c>
      <c r="G39" s="25" t="e">
        <f xml:space="preserve"> 1.945*10^-10*E39^1.5/P39</f>
        <v>#DIV/0!</v>
      </c>
      <c r="I39" s="23">
        <f t="shared" si="3"/>
        <v>3.7999999999999986E-19</v>
      </c>
      <c r="J39" s="17">
        <f xml:space="preserve"> COUNTIF($G$2:$G$151,"&lt;="&amp;I39)-SUM(J2:J38)</f>
        <v>0</v>
      </c>
      <c r="L39" s="64"/>
      <c r="M39" s="65"/>
      <c r="N39" s="66"/>
      <c r="O39" s="65"/>
      <c r="P39" s="67"/>
    </row>
    <row r="40" spans="1:16" ht="19.8" customHeight="1" x14ac:dyDescent="0.3">
      <c r="A40" s="1">
        <f t="shared" si="2"/>
        <v>39</v>
      </c>
      <c r="C40" s="2">
        <f>L40*0.000382</f>
        <v>0</v>
      </c>
      <c r="E40" s="21" t="e">
        <f xml:space="preserve"> C40/N40</f>
        <v>#DIV/0!</v>
      </c>
      <c r="G40" s="25" t="e">
        <f xml:space="preserve"> 1.945*10^-10*E40^1.5/P40</f>
        <v>#DIV/0!</v>
      </c>
      <c r="I40" s="23">
        <f t="shared" si="3"/>
        <v>3.8999999999999985E-19</v>
      </c>
      <c r="J40" s="17">
        <f xml:space="preserve"> COUNTIF($G$2:$G$151,"&lt;="&amp;I40)-SUM(J2:J39)</f>
        <v>0</v>
      </c>
      <c r="L40" s="64"/>
      <c r="M40" s="65"/>
      <c r="N40" s="66"/>
      <c r="O40" s="65"/>
      <c r="P40" s="67"/>
    </row>
    <row r="41" spans="1:16" ht="19.8" customHeight="1" x14ac:dyDescent="0.3">
      <c r="A41" s="1">
        <f t="shared" si="2"/>
        <v>40</v>
      </c>
      <c r="C41" s="2">
        <f>L41*0.000382</f>
        <v>0</v>
      </c>
      <c r="E41" s="21" t="e">
        <f xml:space="preserve"> C41/N41</f>
        <v>#DIV/0!</v>
      </c>
      <c r="G41" s="25" t="e">
        <f xml:space="preserve"> 1.945*10^-10*E41^1.5/P41</f>
        <v>#DIV/0!</v>
      </c>
      <c r="I41" s="23">
        <f t="shared" si="3"/>
        <v>3.9999999999999985E-19</v>
      </c>
      <c r="J41" s="17">
        <f xml:space="preserve"> COUNTIF($G$2:$G$151,"&lt;="&amp;I41)-SUM(J2:J40)</f>
        <v>0</v>
      </c>
      <c r="L41" s="64"/>
      <c r="M41" s="65"/>
      <c r="N41" s="66"/>
      <c r="O41" s="65"/>
      <c r="P41" s="67"/>
    </row>
    <row r="42" spans="1:16" ht="19.8" customHeight="1" x14ac:dyDescent="0.3">
      <c r="A42" s="1">
        <f t="shared" si="2"/>
        <v>41</v>
      </c>
      <c r="C42" s="2">
        <f>L42*0.000382</f>
        <v>0</v>
      </c>
      <c r="E42" s="21" t="e">
        <f xml:space="preserve"> C42/N42</f>
        <v>#DIV/0!</v>
      </c>
      <c r="G42" s="25" t="e">
        <f xml:space="preserve"> 1.945*10^-10*E42^1.5/P42</f>
        <v>#DIV/0!</v>
      </c>
      <c r="I42" s="23">
        <f t="shared" si="3"/>
        <v>4.0999999999999984E-19</v>
      </c>
      <c r="J42" s="17">
        <f xml:space="preserve"> COUNTIF($G$2:$G$151,"&lt;="&amp;I42)-SUM(J2:J41)</f>
        <v>0</v>
      </c>
      <c r="L42" s="64"/>
      <c r="M42" s="65"/>
      <c r="N42" s="66"/>
      <c r="O42" s="65"/>
      <c r="P42" s="67"/>
    </row>
    <row r="43" spans="1:16" ht="19.8" customHeight="1" x14ac:dyDescent="0.3">
      <c r="A43" s="1">
        <f t="shared" si="2"/>
        <v>42</v>
      </c>
      <c r="C43" s="2">
        <f>L43*0.000382</f>
        <v>0</v>
      </c>
      <c r="E43" s="21" t="e">
        <f xml:space="preserve"> C43/N43</f>
        <v>#DIV/0!</v>
      </c>
      <c r="G43" s="25" t="e">
        <f xml:space="preserve"> 1.945*10^-10*E43^1.5/P43</f>
        <v>#DIV/0!</v>
      </c>
      <c r="I43" s="23">
        <f t="shared" si="3"/>
        <v>4.1999999999999984E-19</v>
      </c>
      <c r="J43" s="17">
        <f xml:space="preserve"> COUNTIF($G$2:$G$151,"&lt;="&amp;I43)-SUM(J2:J42)</f>
        <v>0</v>
      </c>
      <c r="L43" s="64"/>
      <c r="M43" s="65"/>
      <c r="N43" s="66"/>
      <c r="O43" s="65"/>
      <c r="P43" s="67"/>
    </row>
    <row r="44" spans="1:16" ht="19.8" customHeight="1" x14ac:dyDescent="0.3">
      <c r="A44" s="1">
        <f t="shared" si="2"/>
        <v>43</v>
      </c>
      <c r="C44" s="2">
        <f>L44*0.000382</f>
        <v>0</v>
      </c>
      <c r="E44" s="21" t="e">
        <f xml:space="preserve"> C44/N44</f>
        <v>#DIV/0!</v>
      </c>
      <c r="G44" s="25" t="e">
        <f xml:space="preserve"> 1.945*10^-10*E44^1.5/P44</f>
        <v>#DIV/0!</v>
      </c>
      <c r="I44" s="23">
        <f t="shared" si="3"/>
        <v>4.2999999999999983E-19</v>
      </c>
      <c r="J44" s="17">
        <f xml:space="preserve"> COUNTIF($G$2:$G$151,"&lt;="&amp;I44)-SUM(J2:J43)</f>
        <v>0</v>
      </c>
      <c r="L44" s="64"/>
      <c r="M44" s="65"/>
      <c r="N44" s="66"/>
      <c r="O44" s="65"/>
      <c r="P44" s="67"/>
    </row>
    <row r="45" spans="1:16" ht="19.8" customHeight="1" x14ac:dyDescent="0.3">
      <c r="A45" s="1">
        <f t="shared" si="2"/>
        <v>44</v>
      </c>
      <c r="C45" s="2">
        <f>L45*0.000382</f>
        <v>0</v>
      </c>
      <c r="E45" s="21" t="e">
        <f xml:space="preserve"> C45/N45</f>
        <v>#DIV/0!</v>
      </c>
      <c r="G45" s="25" t="e">
        <f xml:space="preserve"> 1.945*10^-10*E45^1.5/P45</f>
        <v>#DIV/0!</v>
      </c>
      <c r="I45" s="23">
        <f t="shared" si="3"/>
        <v>4.3999999999999987E-19</v>
      </c>
      <c r="J45" s="17">
        <f xml:space="preserve"> COUNTIF($G$2:$G$151,"&lt;="&amp;I45)-SUM(J2:J44)</f>
        <v>0</v>
      </c>
      <c r="L45" s="64"/>
      <c r="M45" s="65"/>
      <c r="N45" s="66"/>
      <c r="O45" s="65"/>
      <c r="P45" s="67"/>
    </row>
    <row r="46" spans="1:16" ht="19.8" customHeight="1" x14ac:dyDescent="0.3">
      <c r="A46" s="1">
        <f t="shared" si="2"/>
        <v>45</v>
      </c>
      <c r="C46" s="2">
        <f>L46*0.000382</f>
        <v>0</v>
      </c>
      <c r="E46" s="21" t="e">
        <f xml:space="preserve"> C46/N46</f>
        <v>#DIV/0!</v>
      </c>
      <c r="G46" s="25" t="e">
        <f xml:space="preserve"> 1.945*10^-10*E46^1.5/P46</f>
        <v>#DIV/0!</v>
      </c>
      <c r="I46" s="23">
        <f t="shared" si="3"/>
        <v>4.4999999999999992E-19</v>
      </c>
      <c r="J46" s="17">
        <f xml:space="preserve"> COUNTIF($G$2:$G$151,"&lt;="&amp;I46)-SUM(J2:J45)</f>
        <v>0</v>
      </c>
      <c r="L46" s="64"/>
      <c r="M46" s="65"/>
      <c r="N46" s="66"/>
      <c r="O46" s="65"/>
      <c r="P46" s="67"/>
    </row>
    <row r="47" spans="1:16" ht="19.8" customHeight="1" x14ac:dyDescent="0.3">
      <c r="A47" s="1">
        <f t="shared" si="2"/>
        <v>46</v>
      </c>
      <c r="C47" s="2">
        <f>L47*0.000382</f>
        <v>0</v>
      </c>
      <c r="E47" s="21" t="e">
        <f xml:space="preserve"> C47/N47</f>
        <v>#DIV/0!</v>
      </c>
      <c r="G47" s="25" t="e">
        <f xml:space="preserve"> 1.945*10^-10*E47^1.5/P47</f>
        <v>#DIV/0!</v>
      </c>
      <c r="I47" s="23">
        <f t="shared" si="3"/>
        <v>4.5999999999999996E-19</v>
      </c>
      <c r="J47" s="17">
        <f xml:space="preserve"> COUNTIF($G$2:$G$151,"&lt;="&amp;I47)-SUM(J2:J46)</f>
        <v>0</v>
      </c>
      <c r="L47" s="64"/>
      <c r="M47" s="65"/>
      <c r="N47" s="66"/>
      <c r="O47" s="65"/>
      <c r="P47" s="67"/>
    </row>
    <row r="48" spans="1:16" ht="19.8" customHeight="1" x14ac:dyDescent="0.3">
      <c r="A48" s="1">
        <f t="shared" si="2"/>
        <v>47</v>
      </c>
      <c r="C48" s="2">
        <f>L48*0.000382</f>
        <v>0</v>
      </c>
      <c r="E48" s="21" t="e">
        <f xml:space="preserve"> C48/N48</f>
        <v>#DIV/0!</v>
      </c>
      <c r="G48" s="25" t="e">
        <f xml:space="preserve"> 1.945*10^-10*E48^1.5/P48</f>
        <v>#DIV/0!</v>
      </c>
      <c r="I48" s="23">
        <f t="shared" si="3"/>
        <v>4.7E-19</v>
      </c>
      <c r="J48" s="17">
        <f xml:space="preserve"> COUNTIF($G$2:$G$151,"&lt;="&amp;I48)-SUM(J2:J47)</f>
        <v>0</v>
      </c>
      <c r="L48" s="64"/>
      <c r="M48" s="65"/>
      <c r="N48" s="66"/>
      <c r="O48" s="65"/>
      <c r="P48" s="67"/>
    </row>
    <row r="49" spans="1:16" ht="19.8" customHeight="1" x14ac:dyDescent="0.3">
      <c r="A49" s="1">
        <f t="shared" si="2"/>
        <v>48</v>
      </c>
      <c r="C49" s="2">
        <f>L49*0.000382</f>
        <v>0</v>
      </c>
      <c r="E49" s="21" t="e">
        <f xml:space="preserve"> C49/N49</f>
        <v>#DIV/0!</v>
      </c>
      <c r="G49" s="25" t="e">
        <f xml:space="preserve"> 1.945*10^-10*E49^1.5/P49</f>
        <v>#DIV/0!</v>
      </c>
      <c r="I49" s="23">
        <f t="shared" si="3"/>
        <v>4.8000000000000005E-19</v>
      </c>
      <c r="J49" s="17">
        <f xml:space="preserve"> COUNTIF($G$2:$G$151,"&lt;="&amp;I49)-SUM(J2:J48)</f>
        <v>0</v>
      </c>
      <c r="L49" s="64"/>
      <c r="M49" s="65"/>
      <c r="N49" s="66"/>
      <c r="O49" s="65"/>
      <c r="P49" s="67"/>
    </row>
    <row r="50" spans="1:16" ht="19.8" customHeight="1" x14ac:dyDescent="0.3">
      <c r="A50" s="1">
        <f t="shared" si="2"/>
        <v>49</v>
      </c>
      <c r="C50" s="2">
        <f>L50*0.000382</f>
        <v>0</v>
      </c>
      <c r="E50" s="21" t="e">
        <f xml:space="preserve"> C50/N50</f>
        <v>#DIV/0!</v>
      </c>
      <c r="G50" s="25" t="e">
        <f xml:space="preserve"> 1.945*10^-10*E50^1.5/P50</f>
        <v>#DIV/0!</v>
      </c>
      <c r="I50" s="23">
        <f t="shared" si="3"/>
        <v>4.9000000000000009E-19</v>
      </c>
      <c r="J50" s="17">
        <f xml:space="preserve"> COUNTIF($G$2:$G$151,"&lt;="&amp;I50)-SUM(J2:J49)</f>
        <v>0</v>
      </c>
      <c r="L50" s="64"/>
      <c r="M50" s="65"/>
      <c r="N50" s="66"/>
      <c r="O50" s="65"/>
      <c r="P50" s="67"/>
    </row>
    <row r="51" spans="1:16" ht="19.8" customHeight="1" thickBot="1" x14ac:dyDescent="0.35">
      <c r="A51" s="46">
        <f xml:space="preserve"> A50+1</f>
        <v>50</v>
      </c>
      <c r="C51" s="6">
        <f>L51*0.000382</f>
        <v>0</v>
      </c>
      <c r="E51" s="22" t="e">
        <f xml:space="preserve"> C51/N51</f>
        <v>#DIV/0!</v>
      </c>
      <c r="G51" s="26" t="e">
        <f xml:space="preserve"> 1.945*10^-10*E51^1.5/P51</f>
        <v>#DIV/0!</v>
      </c>
      <c r="I51" s="23">
        <f xml:space="preserve"> I50 + 0.1*10^-19</f>
        <v>5.0000000000000013E-19</v>
      </c>
      <c r="J51" s="17">
        <f xml:space="preserve"> COUNTIF($G$2:$G$151,"&lt;="&amp;I51)-SUM(J2:J50)</f>
        <v>0</v>
      </c>
      <c r="L51" s="68"/>
      <c r="M51" s="65"/>
      <c r="N51" s="69"/>
      <c r="O51" s="65"/>
      <c r="P51" s="70"/>
    </row>
    <row r="52" spans="1:16" ht="19.8" customHeight="1" thickTop="1" x14ac:dyDescent="0.3">
      <c r="A52" s="12">
        <f t="shared" ref="A52:A115" si="5" xml:space="preserve"> A51+1</f>
        <v>51</v>
      </c>
      <c r="B52" s="61"/>
      <c r="C52" s="13">
        <f t="shared" si="4"/>
        <v>0</v>
      </c>
      <c r="D52" s="9"/>
      <c r="E52" s="10" t="e">
        <f t="shared" si="0"/>
        <v>#DIV/0!</v>
      </c>
      <c r="F52" s="11"/>
      <c r="G52" s="28" t="e">
        <f t="shared" si="1"/>
        <v>#DIV/0!</v>
      </c>
      <c r="I52" s="47" t="s">
        <v>8</v>
      </c>
      <c r="J52" s="48">
        <f xml:space="preserve"> COUNTIF($G$2:$G$151,"&gt;="&amp;I51)</f>
        <v>5</v>
      </c>
    </row>
    <row r="53" spans="1:16" ht="19.8" customHeight="1" x14ac:dyDescent="0.3">
      <c r="A53" s="14">
        <f t="shared" si="5"/>
        <v>52</v>
      </c>
      <c r="B53" s="62"/>
      <c r="C53" s="15">
        <f t="shared" si="4"/>
        <v>0</v>
      </c>
      <c r="D53" s="3"/>
      <c r="E53" s="22" t="e">
        <f t="shared" si="0"/>
        <v>#DIV/0!</v>
      </c>
      <c r="F53" s="4"/>
      <c r="G53" s="29" t="e">
        <f t="shared" si="1"/>
        <v>#DIV/0!</v>
      </c>
      <c r="I53" s="37" t="s">
        <v>13</v>
      </c>
      <c r="J53" s="49">
        <f>SUM(J2:J52)</f>
        <v>30</v>
      </c>
    </row>
    <row r="54" spans="1:16" ht="19.8" customHeight="1" x14ac:dyDescent="0.3">
      <c r="A54" s="14">
        <f t="shared" si="5"/>
        <v>53</v>
      </c>
      <c r="B54" s="62"/>
      <c r="C54" s="15">
        <f t="shared" si="4"/>
        <v>0</v>
      </c>
      <c r="D54" s="3"/>
      <c r="E54" s="22" t="e">
        <f t="shared" si="0"/>
        <v>#DIV/0!</v>
      </c>
      <c r="F54" s="4"/>
      <c r="G54" s="29" t="e">
        <f t="shared" si="1"/>
        <v>#DIV/0!</v>
      </c>
      <c r="I54" s="18"/>
    </row>
    <row r="55" spans="1:16" ht="19.8" customHeight="1" x14ac:dyDescent="0.3">
      <c r="A55" s="14">
        <f t="shared" si="5"/>
        <v>54</v>
      </c>
      <c r="B55" s="62"/>
      <c r="C55" s="15">
        <f t="shared" si="4"/>
        <v>0</v>
      </c>
      <c r="D55" s="3"/>
      <c r="E55" s="22" t="e">
        <f t="shared" si="0"/>
        <v>#DIV/0!</v>
      </c>
      <c r="F55" s="4"/>
      <c r="G55" s="29" t="e">
        <f t="shared" si="1"/>
        <v>#DIV/0!</v>
      </c>
      <c r="I55" s="18"/>
    </row>
    <row r="56" spans="1:16" ht="19.8" customHeight="1" x14ac:dyDescent="0.3">
      <c r="A56" s="14">
        <f t="shared" si="5"/>
        <v>55</v>
      </c>
      <c r="B56" s="62"/>
      <c r="C56" s="15">
        <f t="shared" si="4"/>
        <v>0</v>
      </c>
      <c r="D56" s="3"/>
      <c r="E56" s="22" t="e">
        <f t="shared" si="0"/>
        <v>#DIV/0!</v>
      </c>
      <c r="F56" s="4"/>
      <c r="G56" s="29" t="e">
        <f t="shared" si="1"/>
        <v>#DIV/0!</v>
      </c>
      <c r="I56" s="18"/>
    </row>
    <row r="57" spans="1:16" ht="19.8" customHeight="1" x14ac:dyDescent="0.3">
      <c r="A57" s="14">
        <f t="shared" si="5"/>
        <v>56</v>
      </c>
      <c r="B57" s="62"/>
      <c r="C57" s="15">
        <f t="shared" si="4"/>
        <v>0</v>
      </c>
      <c r="D57" s="3"/>
      <c r="E57" s="22" t="e">
        <f t="shared" si="0"/>
        <v>#DIV/0!</v>
      </c>
      <c r="F57" s="4"/>
      <c r="G57" s="29" t="e">
        <f t="shared" si="1"/>
        <v>#DIV/0!</v>
      </c>
      <c r="I57" s="18"/>
    </row>
    <row r="58" spans="1:16" ht="19.8" customHeight="1" x14ac:dyDescent="0.3">
      <c r="A58" s="14">
        <f t="shared" si="5"/>
        <v>57</v>
      </c>
      <c r="B58" s="62"/>
      <c r="C58" s="15">
        <f t="shared" si="4"/>
        <v>0</v>
      </c>
      <c r="D58" s="3"/>
      <c r="E58" s="22" t="e">
        <f t="shared" si="0"/>
        <v>#DIV/0!</v>
      </c>
      <c r="F58" s="4"/>
      <c r="G58" s="29" t="e">
        <f t="shared" si="1"/>
        <v>#DIV/0!</v>
      </c>
      <c r="I58" s="18"/>
    </row>
    <row r="59" spans="1:16" ht="19.8" customHeight="1" x14ac:dyDescent="0.3">
      <c r="A59" s="14">
        <f t="shared" si="5"/>
        <v>58</v>
      </c>
      <c r="B59" s="62"/>
      <c r="C59" s="15">
        <f t="shared" si="4"/>
        <v>0</v>
      </c>
      <c r="D59" s="3"/>
      <c r="E59" s="22" t="e">
        <f t="shared" si="0"/>
        <v>#DIV/0!</v>
      </c>
      <c r="F59" s="4"/>
      <c r="G59" s="29" t="e">
        <f t="shared" si="1"/>
        <v>#DIV/0!</v>
      </c>
      <c r="I59" s="18"/>
    </row>
    <row r="60" spans="1:16" ht="19.8" customHeight="1" x14ac:dyDescent="0.3">
      <c r="A60" s="14">
        <f t="shared" si="5"/>
        <v>59</v>
      </c>
      <c r="B60" s="62"/>
      <c r="C60" s="15">
        <f t="shared" si="4"/>
        <v>0</v>
      </c>
      <c r="D60" s="3"/>
      <c r="E60" s="22" t="e">
        <f t="shared" si="0"/>
        <v>#DIV/0!</v>
      </c>
      <c r="F60" s="4"/>
      <c r="G60" s="29" t="e">
        <f t="shared" si="1"/>
        <v>#DIV/0!</v>
      </c>
      <c r="I60" s="18"/>
    </row>
    <row r="61" spans="1:16" ht="19.8" customHeight="1" x14ac:dyDescent="0.3">
      <c r="A61" s="14">
        <f t="shared" si="5"/>
        <v>60</v>
      </c>
      <c r="B61" s="62"/>
      <c r="C61" s="15">
        <f t="shared" si="4"/>
        <v>0</v>
      </c>
      <c r="D61" s="3"/>
      <c r="E61" s="22" t="e">
        <f t="shared" si="0"/>
        <v>#DIV/0!</v>
      </c>
      <c r="F61" s="4"/>
      <c r="G61" s="29" t="e">
        <f t="shared" si="1"/>
        <v>#DIV/0!</v>
      </c>
      <c r="I61" s="18"/>
    </row>
    <row r="62" spans="1:16" ht="19.8" customHeight="1" x14ac:dyDescent="0.3">
      <c r="A62" s="14">
        <f t="shared" si="5"/>
        <v>61</v>
      </c>
      <c r="B62" s="62"/>
      <c r="C62" s="15">
        <f t="shared" si="4"/>
        <v>0</v>
      </c>
      <c r="D62" s="3"/>
      <c r="E62" s="22" t="e">
        <f t="shared" si="0"/>
        <v>#DIV/0!</v>
      </c>
      <c r="F62" s="4"/>
      <c r="G62" s="29" t="e">
        <f t="shared" si="1"/>
        <v>#DIV/0!</v>
      </c>
      <c r="I62" s="4">
        <v>187.6</v>
      </c>
    </row>
    <row r="63" spans="1:16" ht="19.8" customHeight="1" x14ac:dyDescent="0.3">
      <c r="A63" s="14">
        <f t="shared" si="5"/>
        <v>62</v>
      </c>
      <c r="B63" s="62"/>
      <c r="C63" s="15">
        <f t="shared" si="4"/>
        <v>0</v>
      </c>
      <c r="D63" s="3"/>
      <c r="E63" s="22" t="e">
        <f t="shared" si="0"/>
        <v>#DIV/0!</v>
      </c>
      <c r="F63" s="4"/>
      <c r="G63" s="29" t="e">
        <f t="shared" si="1"/>
        <v>#DIV/0!</v>
      </c>
      <c r="I63" s="18">
        <v>187.6</v>
      </c>
    </row>
    <row r="64" spans="1:16" ht="19.8" customHeight="1" x14ac:dyDescent="0.3">
      <c r="A64" s="14">
        <f t="shared" si="5"/>
        <v>63</v>
      </c>
      <c r="B64" s="62"/>
      <c r="C64" s="15">
        <f t="shared" si="4"/>
        <v>0</v>
      </c>
      <c r="D64" s="3"/>
      <c r="E64" s="22" t="e">
        <f t="shared" si="0"/>
        <v>#DIV/0!</v>
      </c>
      <c r="F64" s="4"/>
      <c r="G64" s="29" t="e">
        <f t="shared" si="1"/>
        <v>#DIV/0!</v>
      </c>
      <c r="I64" s="18"/>
    </row>
    <row r="65" spans="1:9" ht="19.8" customHeight="1" x14ac:dyDescent="0.3">
      <c r="A65" s="14">
        <f t="shared" si="5"/>
        <v>64</v>
      </c>
      <c r="B65" s="62"/>
      <c r="C65" s="15">
        <f t="shared" si="4"/>
        <v>0</v>
      </c>
      <c r="D65" s="3"/>
      <c r="E65" s="22" t="e">
        <f t="shared" si="0"/>
        <v>#DIV/0!</v>
      </c>
      <c r="F65" s="4"/>
      <c r="G65" s="29" t="e">
        <f t="shared" si="1"/>
        <v>#DIV/0!</v>
      </c>
      <c r="I65" s="18"/>
    </row>
    <row r="66" spans="1:9" ht="19.8" customHeight="1" x14ac:dyDescent="0.3">
      <c r="A66" s="14">
        <f t="shared" si="5"/>
        <v>65</v>
      </c>
      <c r="B66" s="62"/>
      <c r="C66" s="15">
        <f t="shared" si="4"/>
        <v>0</v>
      </c>
      <c r="D66" s="3"/>
      <c r="E66" s="22" t="e">
        <f t="shared" si="0"/>
        <v>#DIV/0!</v>
      </c>
      <c r="F66" s="4"/>
      <c r="G66" s="29" t="e">
        <f t="shared" si="1"/>
        <v>#DIV/0!</v>
      </c>
      <c r="I66" s="18"/>
    </row>
    <row r="67" spans="1:9" ht="19.8" customHeight="1" x14ac:dyDescent="0.3">
      <c r="A67" s="14">
        <f t="shared" si="5"/>
        <v>66</v>
      </c>
      <c r="B67" s="62"/>
      <c r="C67" s="15">
        <f t="shared" si="4"/>
        <v>0</v>
      </c>
      <c r="D67" s="3"/>
      <c r="E67" s="22" t="e">
        <f t="shared" ref="E67:E100" si="6" xml:space="preserve"> C67/D67</f>
        <v>#DIV/0!</v>
      </c>
      <c r="F67" s="4"/>
      <c r="G67" s="29" t="e">
        <f t="shared" ref="G67:G100" si="7" xml:space="preserve"> 1.945*10^-10*E67^1.5/F67</f>
        <v>#DIV/0!</v>
      </c>
      <c r="I67" s="18"/>
    </row>
    <row r="68" spans="1:9" ht="19.8" customHeight="1" x14ac:dyDescent="0.3">
      <c r="A68" s="14">
        <f t="shared" si="5"/>
        <v>67</v>
      </c>
      <c r="B68" s="62"/>
      <c r="C68" s="15">
        <f t="shared" ref="C68:C100" si="8">B68*0.000382</f>
        <v>0</v>
      </c>
      <c r="D68" s="3"/>
      <c r="E68" s="22" t="e">
        <f t="shared" si="6"/>
        <v>#DIV/0!</v>
      </c>
      <c r="F68" s="4"/>
      <c r="G68" s="29" t="e">
        <f t="shared" si="7"/>
        <v>#DIV/0!</v>
      </c>
      <c r="I68" s="18"/>
    </row>
    <row r="69" spans="1:9" ht="19.8" customHeight="1" x14ac:dyDescent="0.3">
      <c r="A69" s="14">
        <f t="shared" si="5"/>
        <v>68</v>
      </c>
      <c r="B69" s="62"/>
      <c r="C69" s="15">
        <f t="shared" si="8"/>
        <v>0</v>
      </c>
      <c r="D69" s="3"/>
      <c r="E69" s="22" t="e">
        <f t="shared" si="6"/>
        <v>#DIV/0!</v>
      </c>
      <c r="F69" s="4"/>
      <c r="G69" s="29" t="e">
        <f t="shared" si="7"/>
        <v>#DIV/0!</v>
      </c>
      <c r="I69" s="18"/>
    </row>
    <row r="70" spans="1:9" ht="19.8" customHeight="1" x14ac:dyDescent="0.3">
      <c r="A70" s="14">
        <f t="shared" si="5"/>
        <v>69</v>
      </c>
      <c r="B70" s="62"/>
      <c r="C70" s="15">
        <f t="shared" si="8"/>
        <v>0</v>
      </c>
      <c r="D70" s="3"/>
      <c r="E70" s="22" t="e">
        <f t="shared" si="6"/>
        <v>#DIV/0!</v>
      </c>
      <c r="F70" s="4"/>
      <c r="G70" s="29" t="e">
        <f t="shared" si="7"/>
        <v>#DIV/0!</v>
      </c>
      <c r="I70" s="18"/>
    </row>
    <row r="71" spans="1:9" ht="19.8" customHeight="1" x14ac:dyDescent="0.3">
      <c r="A71" s="14">
        <f t="shared" si="5"/>
        <v>70</v>
      </c>
      <c r="B71" s="62"/>
      <c r="C71" s="15">
        <f t="shared" si="8"/>
        <v>0</v>
      </c>
      <c r="D71" s="3"/>
      <c r="E71" s="22" t="e">
        <f t="shared" si="6"/>
        <v>#DIV/0!</v>
      </c>
      <c r="F71" s="4"/>
      <c r="G71" s="29" t="e">
        <f t="shared" si="7"/>
        <v>#DIV/0!</v>
      </c>
      <c r="I71" s="18"/>
    </row>
    <row r="72" spans="1:9" ht="19.8" customHeight="1" x14ac:dyDescent="0.3">
      <c r="A72" s="14">
        <f t="shared" si="5"/>
        <v>71</v>
      </c>
      <c r="B72" s="62"/>
      <c r="C72" s="15">
        <f t="shared" si="8"/>
        <v>0</v>
      </c>
      <c r="D72" s="3"/>
      <c r="E72" s="22" t="e">
        <f t="shared" si="6"/>
        <v>#DIV/0!</v>
      </c>
      <c r="F72" s="4"/>
      <c r="G72" s="29" t="e">
        <f t="shared" si="7"/>
        <v>#DIV/0!</v>
      </c>
      <c r="I72" s="18"/>
    </row>
    <row r="73" spans="1:9" ht="19.8" customHeight="1" x14ac:dyDescent="0.3">
      <c r="A73" s="14">
        <f t="shared" si="5"/>
        <v>72</v>
      </c>
      <c r="B73" s="62"/>
      <c r="C73" s="15">
        <f t="shared" si="8"/>
        <v>0</v>
      </c>
      <c r="D73" s="3"/>
      <c r="E73" s="22" t="e">
        <f t="shared" si="6"/>
        <v>#DIV/0!</v>
      </c>
      <c r="F73" s="4"/>
      <c r="G73" s="29" t="e">
        <f t="shared" si="7"/>
        <v>#DIV/0!</v>
      </c>
      <c r="I73" s="18"/>
    </row>
    <row r="74" spans="1:9" ht="19.8" customHeight="1" x14ac:dyDescent="0.3">
      <c r="A74" s="14">
        <f t="shared" si="5"/>
        <v>73</v>
      </c>
      <c r="B74" s="62"/>
      <c r="C74" s="15">
        <f t="shared" si="8"/>
        <v>0</v>
      </c>
      <c r="D74" s="3"/>
      <c r="E74" s="22" t="e">
        <f t="shared" si="6"/>
        <v>#DIV/0!</v>
      </c>
      <c r="F74" s="4"/>
      <c r="G74" s="29" t="e">
        <f t="shared" si="7"/>
        <v>#DIV/0!</v>
      </c>
      <c r="I74" s="18"/>
    </row>
    <row r="75" spans="1:9" ht="19.8" customHeight="1" x14ac:dyDescent="0.3">
      <c r="A75" s="14">
        <f t="shared" si="5"/>
        <v>74</v>
      </c>
      <c r="B75" s="62"/>
      <c r="C75" s="15">
        <f t="shared" si="8"/>
        <v>0</v>
      </c>
      <c r="D75" s="3"/>
      <c r="E75" s="22" t="e">
        <f t="shared" si="6"/>
        <v>#DIV/0!</v>
      </c>
      <c r="F75" s="4"/>
      <c r="G75" s="29" t="e">
        <f t="shared" si="7"/>
        <v>#DIV/0!</v>
      </c>
      <c r="I75" s="18"/>
    </row>
    <row r="76" spans="1:9" ht="19.8" customHeight="1" x14ac:dyDescent="0.3">
      <c r="A76" s="14">
        <f t="shared" si="5"/>
        <v>75</v>
      </c>
      <c r="B76" s="62"/>
      <c r="C76" s="15">
        <f t="shared" ref="C76" si="9">B76*0.000382</f>
        <v>0</v>
      </c>
      <c r="D76" s="3"/>
      <c r="E76" s="32" t="e">
        <f t="shared" si="6"/>
        <v>#DIV/0!</v>
      </c>
      <c r="F76" s="4"/>
      <c r="G76" s="32" t="e">
        <f t="shared" ref="G76" si="10" xml:space="preserve"> 1.945*10^-10*E76^1.5/F76</f>
        <v>#DIV/0!</v>
      </c>
      <c r="I76" s="18"/>
    </row>
    <row r="77" spans="1:9" ht="19.8" customHeight="1" x14ac:dyDescent="0.3">
      <c r="A77" s="12">
        <f t="shared" si="5"/>
        <v>76</v>
      </c>
      <c r="B77" s="61"/>
      <c r="C77" s="13">
        <f t="shared" si="8"/>
        <v>0</v>
      </c>
      <c r="D77" s="3"/>
      <c r="E77" s="32" t="e">
        <f t="shared" si="6"/>
        <v>#DIV/0!</v>
      </c>
      <c r="F77" s="4"/>
      <c r="G77" s="28" t="e">
        <f t="shared" si="7"/>
        <v>#DIV/0!</v>
      </c>
      <c r="I77" s="18"/>
    </row>
    <row r="78" spans="1:9" ht="19.8" customHeight="1" x14ac:dyDescent="0.3">
      <c r="A78" s="14">
        <f t="shared" si="5"/>
        <v>77</v>
      </c>
      <c r="B78" s="62"/>
      <c r="C78" s="15">
        <f t="shared" si="8"/>
        <v>0</v>
      </c>
      <c r="D78" s="3"/>
      <c r="E78" s="22" t="e">
        <f t="shared" si="6"/>
        <v>#DIV/0!</v>
      </c>
      <c r="F78" s="4"/>
      <c r="G78" s="29" t="e">
        <f t="shared" si="7"/>
        <v>#DIV/0!</v>
      </c>
      <c r="I78" s="18"/>
    </row>
    <row r="79" spans="1:9" ht="19.8" customHeight="1" x14ac:dyDescent="0.3">
      <c r="A79" s="14">
        <f t="shared" si="5"/>
        <v>78</v>
      </c>
      <c r="B79" s="62"/>
      <c r="C79" s="15">
        <f t="shared" si="8"/>
        <v>0</v>
      </c>
      <c r="D79" s="3"/>
      <c r="E79" s="22" t="e">
        <f t="shared" si="6"/>
        <v>#DIV/0!</v>
      </c>
      <c r="F79" s="4"/>
      <c r="G79" s="29" t="e">
        <f t="shared" si="7"/>
        <v>#DIV/0!</v>
      </c>
      <c r="I79" s="18"/>
    </row>
    <row r="80" spans="1:9" ht="19.8" customHeight="1" x14ac:dyDescent="0.3">
      <c r="A80" s="14">
        <f t="shared" si="5"/>
        <v>79</v>
      </c>
      <c r="B80" s="62"/>
      <c r="C80" s="15">
        <f t="shared" si="8"/>
        <v>0</v>
      </c>
      <c r="D80" s="3"/>
      <c r="E80" s="22" t="e">
        <f t="shared" si="6"/>
        <v>#DIV/0!</v>
      </c>
      <c r="F80" s="4"/>
      <c r="G80" s="29" t="e">
        <f t="shared" si="7"/>
        <v>#DIV/0!</v>
      </c>
      <c r="I80" s="18"/>
    </row>
    <row r="81" spans="1:9" ht="19.8" customHeight="1" x14ac:dyDescent="0.3">
      <c r="A81" s="14">
        <f t="shared" si="5"/>
        <v>80</v>
      </c>
      <c r="B81" s="62"/>
      <c r="C81" s="15">
        <f t="shared" si="8"/>
        <v>0</v>
      </c>
      <c r="D81" s="3"/>
      <c r="E81" s="22" t="e">
        <f t="shared" si="6"/>
        <v>#DIV/0!</v>
      </c>
      <c r="F81" s="4"/>
      <c r="G81" s="29" t="e">
        <f t="shared" si="7"/>
        <v>#DIV/0!</v>
      </c>
      <c r="I81" s="18"/>
    </row>
    <row r="82" spans="1:9" ht="19.8" customHeight="1" x14ac:dyDescent="0.3">
      <c r="A82" s="14">
        <f t="shared" si="5"/>
        <v>81</v>
      </c>
      <c r="B82" s="62"/>
      <c r="C82" s="15">
        <f t="shared" si="8"/>
        <v>0</v>
      </c>
      <c r="D82" s="3"/>
      <c r="E82" s="22" t="e">
        <f t="shared" si="6"/>
        <v>#DIV/0!</v>
      </c>
      <c r="F82" s="4"/>
      <c r="G82" s="29" t="e">
        <f t="shared" si="7"/>
        <v>#DIV/0!</v>
      </c>
      <c r="I82" s="18"/>
    </row>
    <row r="83" spans="1:9" ht="19.8" customHeight="1" x14ac:dyDescent="0.3">
      <c r="A83" s="14">
        <f t="shared" si="5"/>
        <v>82</v>
      </c>
      <c r="B83" s="62"/>
      <c r="C83" s="15">
        <f t="shared" si="8"/>
        <v>0</v>
      </c>
      <c r="D83" s="3"/>
      <c r="E83" s="22" t="e">
        <f t="shared" si="6"/>
        <v>#DIV/0!</v>
      </c>
      <c r="F83" s="4"/>
      <c r="G83" s="29" t="e">
        <f t="shared" si="7"/>
        <v>#DIV/0!</v>
      </c>
      <c r="I83" s="18"/>
    </row>
    <row r="84" spans="1:9" ht="19.8" customHeight="1" x14ac:dyDescent="0.3">
      <c r="A84" s="14">
        <f t="shared" si="5"/>
        <v>83</v>
      </c>
      <c r="B84" s="62"/>
      <c r="C84" s="15">
        <f t="shared" si="8"/>
        <v>0</v>
      </c>
      <c r="D84" s="3"/>
      <c r="E84" s="22" t="e">
        <f t="shared" si="6"/>
        <v>#DIV/0!</v>
      </c>
      <c r="F84" s="4"/>
      <c r="G84" s="29" t="e">
        <f t="shared" si="7"/>
        <v>#DIV/0!</v>
      </c>
      <c r="I84" s="18"/>
    </row>
    <row r="85" spans="1:9" ht="19.8" customHeight="1" x14ac:dyDescent="0.3">
      <c r="A85" s="14">
        <f t="shared" si="5"/>
        <v>84</v>
      </c>
      <c r="B85" s="62"/>
      <c r="C85" s="15">
        <f t="shared" si="8"/>
        <v>0</v>
      </c>
      <c r="D85" s="3"/>
      <c r="E85" s="22" t="e">
        <f t="shared" si="6"/>
        <v>#DIV/0!</v>
      </c>
      <c r="F85" s="4"/>
      <c r="G85" s="29" t="e">
        <f t="shared" si="7"/>
        <v>#DIV/0!</v>
      </c>
      <c r="I85" s="18"/>
    </row>
    <row r="86" spans="1:9" ht="19.8" customHeight="1" x14ac:dyDescent="0.3">
      <c r="A86" s="14">
        <f t="shared" si="5"/>
        <v>85</v>
      </c>
      <c r="B86" s="62"/>
      <c r="C86" s="15">
        <f t="shared" si="8"/>
        <v>0</v>
      </c>
      <c r="D86" s="3"/>
      <c r="E86" s="22" t="e">
        <f t="shared" si="6"/>
        <v>#DIV/0!</v>
      </c>
      <c r="F86" s="4"/>
      <c r="G86" s="29" t="e">
        <f t="shared" si="7"/>
        <v>#DIV/0!</v>
      </c>
      <c r="I86" s="18"/>
    </row>
    <row r="87" spans="1:9" ht="19.8" customHeight="1" x14ac:dyDescent="0.3">
      <c r="A87" s="14">
        <f t="shared" si="5"/>
        <v>86</v>
      </c>
      <c r="B87" s="62"/>
      <c r="C87" s="15">
        <f t="shared" si="8"/>
        <v>0</v>
      </c>
      <c r="D87" s="3"/>
      <c r="E87" s="22" t="e">
        <f t="shared" si="6"/>
        <v>#DIV/0!</v>
      </c>
      <c r="F87" s="4"/>
      <c r="G87" s="29" t="e">
        <f t="shared" si="7"/>
        <v>#DIV/0!</v>
      </c>
      <c r="I87" s="18"/>
    </row>
    <row r="88" spans="1:9" ht="19.8" customHeight="1" x14ac:dyDescent="0.3">
      <c r="A88" s="14">
        <f t="shared" si="5"/>
        <v>87</v>
      </c>
      <c r="B88" s="62"/>
      <c r="C88" s="15">
        <f t="shared" si="8"/>
        <v>0</v>
      </c>
      <c r="D88" s="3"/>
      <c r="E88" s="22" t="e">
        <f t="shared" si="6"/>
        <v>#DIV/0!</v>
      </c>
      <c r="F88" s="4"/>
      <c r="G88" s="29" t="e">
        <f t="shared" si="7"/>
        <v>#DIV/0!</v>
      </c>
      <c r="I88" s="18"/>
    </row>
    <row r="89" spans="1:9" ht="19.8" customHeight="1" x14ac:dyDescent="0.3">
      <c r="A89" s="14">
        <f t="shared" si="5"/>
        <v>88</v>
      </c>
      <c r="B89" s="62"/>
      <c r="C89" s="15">
        <f t="shared" si="8"/>
        <v>0</v>
      </c>
      <c r="D89" s="3"/>
      <c r="E89" s="22" t="e">
        <f t="shared" si="6"/>
        <v>#DIV/0!</v>
      </c>
      <c r="F89" s="4"/>
      <c r="G89" s="29" t="e">
        <f t="shared" si="7"/>
        <v>#DIV/0!</v>
      </c>
      <c r="I89" s="18"/>
    </row>
    <row r="90" spans="1:9" ht="19.8" customHeight="1" x14ac:dyDescent="0.3">
      <c r="A90" s="14">
        <f t="shared" si="5"/>
        <v>89</v>
      </c>
      <c r="B90" s="62"/>
      <c r="C90" s="15">
        <f t="shared" si="8"/>
        <v>0</v>
      </c>
      <c r="D90" s="3"/>
      <c r="E90" s="22" t="e">
        <f t="shared" si="6"/>
        <v>#DIV/0!</v>
      </c>
      <c r="F90" s="4"/>
      <c r="G90" s="29" t="e">
        <f t="shared" si="7"/>
        <v>#DIV/0!</v>
      </c>
      <c r="I90" s="18"/>
    </row>
    <row r="91" spans="1:9" ht="19.8" customHeight="1" x14ac:dyDescent="0.3">
      <c r="A91" s="14">
        <f t="shared" si="5"/>
        <v>90</v>
      </c>
      <c r="B91" s="62"/>
      <c r="C91" s="15">
        <f t="shared" si="8"/>
        <v>0</v>
      </c>
      <c r="D91" s="3"/>
      <c r="E91" s="22" t="e">
        <f t="shared" si="6"/>
        <v>#DIV/0!</v>
      </c>
      <c r="F91" s="4"/>
      <c r="G91" s="29" t="e">
        <f t="shared" si="7"/>
        <v>#DIV/0!</v>
      </c>
      <c r="I91" s="18"/>
    </row>
    <row r="92" spans="1:9" ht="19.8" customHeight="1" x14ac:dyDescent="0.3">
      <c r="A92" s="14">
        <f t="shared" si="5"/>
        <v>91</v>
      </c>
      <c r="B92" s="62"/>
      <c r="C92" s="15">
        <f t="shared" si="8"/>
        <v>0</v>
      </c>
      <c r="D92" s="3"/>
      <c r="E92" s="22" t="e">
        <f t="shared" si="6"/>
        <v>#DIV/0!</v>
      </c>
      <c r="F92" s="4"/>
      <c r="G92" s="29" t="e">
        <f t="shared" si="7"/>
        <v>#DIV/0!</v>
      </c>
      <c r="I92" s="18"/>
    </row>
    <row r="93" spans="1:9" ht="19.8" customHeight="1" x14ac:dyDescent="0.3">
      <c r="A93" s="14">
        <f t="shared" si="5"/>
        <v>92</v>
      </c>
      <c r="B93" s="62"/>
      <c r="C93" s="15">
        <f t="shared" si="8"/>
        <v>0</v>
      </c>
      <c r="D93" s="3"/>
      <c r="E93" s="22" t="e">
        <f t="shared" si="6"/>
        <v>#DIV/0!</v>
      </c>
      <c r="F93" s="4"/>
      <c r="G93" s="29" t="e">
        <f t="shared" si="7"/>
        <v>#DIV/0!</v>
      </c>
      <c r="I93" s="18"/>
    </row>
    <row r="94" spans="1:9" ht="19.8" customHeight="1" x14ac:dyDescent="0.3">
      <c r="A94" s="14">
        <f t="shared" si="5"/>
        <v>93</v>
      </c>
      <c r="B94" s="62"/>
      <c r="C94" s="15">
        <f t="shared" si="8"/>
        <v>0</v>
      </c>
      <c r="D94" s="3"/>
      <c r="E94" s="22" t="e">
        <f t="shared" si="6"/>
        <v>#DIV/0!</v>
      </c>
      <c r="F94" s="4"/>
      <c r="G94" s="29" t="e">
        <f t="shared" si="7"/>
        <v>#DIV/0!</v>
      </c>
      <c r="I94" s="18"/>
    </row>
    <row r="95" spans="1:9" ht="19.8" customHeight="1" x14ac:dyDescent="0.3">
      <c r="A95" s="14">
        <f t="shared" si="5"/>
        <v>94</v>
      </c>
      <c r="B95" s="62"/>
      <c r="C95" s="15">
        <f t="shared" si="8"/>
        <v>0</v>
      </c>
      <c r="D95" s="3"/>
      <c r="E95" s="22" t="e">
        <f t="shared" si="6"/>
        <v>#DIV/0!</v>
      </c>
      <c r="F95" s="4"/>
      <c r="G95" s="29" t="e">
        <f t="shared" si="7"/>
        <v>#DIV/0!</v>
      </c>
      <c r="I95" s="18"/>
    </row>
    <row r="96" spans="1:9" ht="19.8" customHeight="1" x14ac:dyDescent="0.3">
      <c r="A96" s="14">
        <f xml:space="preserve"> A95+1</f>
        <v>95</v>
      </c>
      <c r="B96" s="62"/>
      <c r="C96" s="15">
        <f t="shared" si="8"/>
        <v>0</v>
      </c>
      <c r="D96" s="3"/>
      <c r="E96" s="22" t="e">
        <f t="shared" si="6"/>
        <v>#DIV/0!</v>
      </c>
      <c r="F96" s="4"/>
      <c r="G96" s="29" t="e">
        <f t="shared" si="7"/>
        <v>#DIV/0!</v>
      </c>
      <c r="I96" s="18"/>
    </row>
    <row r="97" spans="1:30" ht="19.8" customHeight="1" x14ac:dyDescent="0.3">
      <c r="A97" s="14">
        <f t="shared" si="5"/>
        <v>96</v>
      </c>
      <c r="B97" s="62"/>
      <c r="C97" s="15">
        <f t="shared" si="8"/>
        <v>0</v>
      </c>
      <c r="D97" s="3"/>
      <c r="E97" s="22" t="e">
        <f t="shared" si="6"/>
        <v>#DIV/0!</v>
      </c>
      <c r="F97" s="4"/>
      <c r="G97" s="29" t="e">
        <f t="shared" si="7"/>
        <v>#DIV/0!</v>
      </c>
      <c r="I97" s="18"/>
    </row>
    <row r="98" spans="1:30" ht="19.8" customHeight="1" x14ac:dyDescent="0.3">
      <c r="A98" s="14">
        <f t="shared" si="5"/>
        <v>97</v>
      </c>
      <c r="B98" s="62"/>
      <c r="C98" s="15">
        <f t="shared" si="8"/>
        <v>0</v>
      </c>
      <c r="D98" s="3"/>
      <c r="E98" s="22" t="e">
        <f t="shared" si="6"/>
        <v>#DIV/0!</v>
      </c>
      <c r="F98" s="4"/>
      <c r="G98" s="29" t="e">
        <f t="shared" si="7"/>
        <v>#DIV/0!</v>
      </c>
      <c r="I98" s="18"/>
    </row>
    <row r="99" spans="1:30" ht="19.8" customHeight="1" x14ac:dyDescent="0.3">
      <c r="A99" s="14">
        <f xml:space="preserve"> A98+1</f>
        <v>98</v>
      </c>
      <c r="B99" s="62"/>
      <c r="C99" s="15">
        <f t="shared" si="8"/>
        <v>0</v>
      </c>
      <c r="D99" s="3"/>
      <c r="E99" s="22" t="e">
        <f t="shared" si="6"/>
        <v>#DIV/0!</v>
      </c>
      <c r="F99" s="4"/>
      <c r="G99" s="29" t="e">
        <f t="shared" si="7"/>
        <v>#DIV/0!</v>
      </c>
      <c r="I99" s="18"/>
    </row>
    <row r="100" spans="1:30" ht="19.8" customHeight="1" x14ac:dyDescent="0.3">
      <c r="A100" s="14">
        <f t="shared" si="5"/>
        <v>99</v>
      </c>
      <c r="B100" s="62"/>
      <c r="C100" s="15">
        <f t="shared" si="8"/>
        <v>0</v>
      </c>
      <c r="D100" s="3"/>
      <c r="E100" s="22" t="e">
        <f t="shared" si="6"/>
        <v>#DIV/0!</v>
      </c>
      <c r="F100" s="4"/>
      <c r="G100" s="29" t="e">
        <f t="shared" si="7"/>
        <v>#DIV/0!</v>
      </c>
      <c r="I100" s="18"/>
    </row>
    <row r="101" spans="1:30" ht="19.8" customHeight="1" thickBot="1" x14ac:dyDescent="0.35">
      <c r="A101" s="34">
        <f t="shared" si="5"/>
        <v>100</v>
      </c>
      <c r="B101" s="63"/>
      <c r="C101" s="35">
        <f t="shared" ref="C101:C104" si="11">B101*0.000382</f>
        <v>0</v>
      </c>
      <c r="D101" s="3"/>
      <c r="E101" s="36" t="e">
        <f t="shared" ref="E101:E104" si="12" xml:space="preserve"> C101/D101</f>
        <v>#DIV/0!</v>
      </c>
      <c r="F101" s="4"/>
      <c r="G101" s="36" t="e">
        <f t="shared" ref="G101:G104" si="13" xml:space="preserve"> 1.945*10^-10*E101^1.5/F101</f>
        <v>#DIV/0!</v>
      </c>
      <c r="I101" s="18"/>
    </row>
    <row r="102" spans="1:30" ht="19.8" customHeight="1" x14ac:dyDescent="0.3">
      <c r="A102" s="12">
        <f t="shared" si="5"/>
        <v>101</v>
      </c>
      <c r="B102" s="61"/>
      <c r="C102" s="13">
        <f t="shared" si="11"/>
        <v>0</v>
      </c>
      <c r="D102" s="38"/>
      <c r="E102" s="33" t="e">
        <f t="shared" si="12"/>
        <v>#DIV/0!</v>
      </c>
      <c r="F102" s="43"/>
      <c r="G102" s="33" t="e">
        <f t="shared" si="13"/>
        <v>#DIV/0!</v>
      </c>
    </row>
    <row r="103" spans="1:30" ht="19.8" customHeight="1" x14ac:dyDescent="0.3">
      <c r="A103" s="14">
        <f t="shared" si="5"/>
        <v>102</v>
      </c>
      <c r="B103" s="62"/>
      <c r="C103" s="15">
        <f t="shared" si="11"/>
        <v>0</v>
      </c>
      <c r="D103" s="38"/>
      <c r="E103" s="32" t="e">
        <f t="shared" si="12"/>
        <v>#DIV/0!</v>
      </c>
      <c r="F103" s="43"/>
      <c r="G103" s="32" t="e">
        <f t="shared" si="13"/>
        <v>#DIV/0!</v>
      </c>
    </row>
    <row r="104" spans="1:30" s="31" customFormat="1" ht="19.8" customHeight="1" x14ac:dyDescent="0.3">
      <c r="A104" s="14">
        <f t="shared" si="5"/>
        <v>103</v>
      </c>
      <c r="B104" s="62"/>
      <c r="C104" s="15">
        <f t="shared" si="11"/>
        <v>0</v>
      </c>
      <c r="D104" s="38"/>
      <c r="E104" s="32" t="e">
        <f t="shared" si="12"/>
        <v>#DIV/0!</v>
      </c>
      <c r="F104" s="43"/>
      <c r="G104" s="32" t="e">
        <f t="shared" si="13"/>
        <v>#DIV/0!</v>
      </c>
    </row>
    <row r="105" spans="1:30" s="30" customFormat="1" ht="19.8" customHeight="1" x14ac:dyDescent="0.3">
      <c r="A105" s="14">
        <f t="shared" si="5"/>
        <v>104</v>
      </c>
      <c r="B105" s="62"/>
      <c r="C105" s="15">
        <f t="shared" ref="C105:C150" si="14">B105*0.000382</f>
        <v>0</v>
      </c>
      <c r="D105" s="38"/>
      <c r="E105" s="32" t="e">
        <f t="shared" ref="E105:E150" si="15" xml:space="preserve"> C105/D105</f>
        <v>#DIV/0!</v>
      </c>
      <c r="F105" s="43"/>
      <c r="G105" s="52" t="e">
        <f t="shared" ref="G105:G150" si="16" xml:space="preserve"> 1.945*10^-10*E105^1.5/F105</f>
        <v>#DIV/0!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spans="1:30" s="31" customFormat="1" ht="19.8" customHeight="1" x14ac:dyDescent="0.3">
      <c r="A106" s="14">
        <f t="shared" si="5"/>
        <v>105</v>
      </c>
      <c r="B106" s="62"/>
      <c r="C106" s="15">
        <f t="shared" si="14"/>
        <v>0</v>
      </c>
      <c r="D106" s="38"/>
      <c r="E106" s="32" t="e">
        <f t="shared" si="15"/>
        <v>#DIV/0!</v>
      </c>
      <c r="F106" s="43"/>
      <c r="G106" s="52" t="e">
        <f t="shared" si="16"/>
        <v>#DIV/0!</v>
      </c>
    </row>
    <row r="107" spans="1:30" s="31" customFormat="1" ht="19.8" customHeight="1" x14ac:dyDescent="0.3">
      <c r="A107" s="14">
        <f t="shared" si="5"/>
        <v>106</v>
      </c>
      <c r="B107" s="62"/>
      <c r="C107" s="15">
        <f t="shared" si="14"/>
        <v>0</v>
      </c>
      <c r="D107" s="38"/>
      <c r="E107" s="32" t="e">
        <f t="shared" si="15"/>
        <v>#DIV/0!</v>
      </c>
      <c r="F107" s="43"/>
      <c r="G107" s="32" t="e">
        <f t="shared" si="16"/>
        <v>#DIV/0!</v>
      </c>
    </row>
    <row r="108" spans="1:30" s="31" customFormat="1" ht="19.8" customHeight="1" x14ac:dyDescent="0.3">
      <c r="A108" s="14">
        <f t="shared" si="5"/>
        <v>107</v>
      </c>
      <c r="B108" s="62"/>
      <c r="C108" s="15">
        <f t="shared" si="14"/>
        <v>0</v>
      </c>
      <c r="D108" s="38"/>
      <c r="E108" s="32" t="e">
        <f t="shared" si="15"/>
        <v>#DIV/0!</v>
      </c>
      <c r="F108" s="43"/>
      <c r="G108" s="32" t="e">
        <f t="shared" si="16"/>
        <v>#DIV/0!</v>
      </c>
    </row>
    <row r="109" spans="1:30" s="31" customFormat="1" ht="19.8" customHeight="1" x14ac:dyDescent="0.3">
      <c r="A109" s="14">
        <f t="shared" si="5"/>
        <v>108</v>
      </c>
      <c r="B109" s="62"/>
      <c r="C109" s="15">
        <f t="shared" si="14"/>
        <v>0</v>
      </c>
      <c r="D109" s="38"/>
      <c r="E109" s="32" t="e">
        <f t="shared" si="15"/>
        <v>#DIV/0!</v>
      </c>
      <c r="F109" s="43"/>
      <c r="G109" s="32" t="e">
        <f t="shared" si="16"/>
        <v>#DIV/0!</v>
      </c>
    </row>
    <row r="110" spans="1:30" s="31" customFormat="1" ht="19.8" customHeight="1" x14ac:dyDescent="0.3">
      <c r="A110" s="14">
        <f t="shared" si="5"/>
        <v>109</v>
      </c>
      <c r="B110" s="62"/>
      <c r="C110" s="15">
        <f t="shared" si="14"/>
        <v>0</v>
      </c>
      <c r="D110" s="38"/>
      <c r="E110" s="32" t="e">
        <f t="shared" si="15"/>
        <v>#DIV/0!</v>
      </c>
      <c r="F110" s="43"/>
      <c r="G110" s="32" t="e">
        <f t="shared" si="16"/>
        <v>#DIV/0!</v>
      </c>
    </row>
    <row r="111" spans="1:30" s="31" customFormat="1" ht="19.8" customHeight="1" x14ac:dyDescent="0.3">
      <c r="A111" s="14">
        <f t="shared" si="5"/>
        <v>110</v>
      </c>
      <c r="B111" s="62"/>
      <c r="C111" s="15">
        <f t="shared" si="14"/>
        <v>0</v>
      </c>
      <c r="D111" s="38"/>
      <c r="E111" s="32" t="e">
        <f t="shared" si="15"/>
        <v>#DIV/0!</v>
      </c>
      <c r="F111" s="43"/>
      <c r="G111" s="32" t="e">
        <f t="shared" si="16"/>
        <v>#DIV/0!</v>
      </c>
    </row>
    <row r="112" spans="1:30" s="31" customFormat="1" ht="19.8" customHeight="1" x14ac:dyDescent="0.3">
      <c r="A112" s="14">
        <f t="shared" si="5"/>
        <v>111</v>
      </c>
      <c r="B112" s="62"/>
      <c r="C112" s="15">
        <f t="shared" si="14"/>
        <v>0</v>
      </c>
      <c r="D112" s="38"/>
      <c r="E112" s="32" t="e">
        <f t="shared" si="15"/>
        <v>#DIV/0!</v>
      </c>
      <c r="F112" s="43"/>
      <c r="G112" s="32" t="e">
        <f t="shared" si="16"/>
        <v>#DIV/0!</v>
      </c>
    </row>
    <row r="113" spans="1:7" s="31" customFormat="1" ht="19.8" customHeight="1" x14ac:dyDescent="0.3">
      <c r="A113" s="14">
        <f t="shared" si="5"/>
        <v>112</v>
      </c>
      <c r="B113" s="62"/>
      <c r="C113" s="15">
        <f t="shared" si="14"/>
        <v>0</v>
      </c>
      <c r="D113" s="38"/>
      <c r="E113" s="32" t="e">
        <f t="shared" si="15"/>
        <v>#DIV/0!</v>
      </c>
      <c r="F113" s="43"/>
      <c r="G113" s="32" t="e">
        <f t="shared" si="16"/>
        <v>#DIV/0!</v>
      </c>
    </row>
    <row r="114" spans="1:7" s="31" customFormat="1" ht="19.8" customHeight="1" x14ac:dyDescent="0.3">
      <c r="A114" s="14">
        <f t="shared" si="5"/>
        <v>113</v>
      </c>
      <c r="B114" s="62"/>
      <c r="C114" s="15">
        <f t="shared" si="14"/>
        <v>0</v>
      </c>
      <c r="D114" s="38"/>
      <c r="E114" s="32" t="e">
        <f t="shared" si="15"/>
        <v>#DIV/0!</v>
      </c>
      <c r="F114" s="43"/>
      <c r="G114" s="32" t="e">
        <f t="shared" si="16"/>
        <v>#DIV/0!</v>
      </c>
    </row>
    <row r="115" spans="1:7" s="31" customFormat="1" ht="19.8" customHeight="1" x14ac:dyDescent="0.3">
      <c r="A115" s="14">
        <f t="shared" si="5"/>
        <v>114</v>
      </c>
      <c r="B115" s="62"/>
      <c r="C115" s="15">
        <f t="shared" si="14"/>
        <v>0</v>
      </c>
      <c r="D115" s="38"/>
      <c r="E115" s="32" t="e">
        <f t="shared" si="15"/>
        <v>#DIV/0!</v>
      </c>
      <c r="F115" s="43"/>
      <c r="G115" s="32" t="e">
        <f t="shared" si="16"/>
        <v>#DIV/0!</v>
      </c>
    </row>
    <row r="116" spans="1:7" s="31" customFormat="1" ht="19.8" customHeight="1" x14ac:dyDescent="0.3">
      <c r="A116" s="14">
        <f t="shared" ref="A116:A151" si="17" xml:space="preserve"> A115+1</f>
        <v>115</v>
      </c>
      <c r="B116" s="62"/>
      <c r="C116" s="15">
        <f t="shared" si="14"/>
        <v>0</v>
      </c>
      <c r="D116" s="38"/>
      <c r="E116" s="32" t="e">
        <f t="shared" si="15"/>
        <v>#DIV/0!</v>
      </c>
      <c r="F116" s="43"/>
      <c r="G116" s="32" t="e">
        <f t="shared" si="16"/>
        <v>#DIV/0!</v>
      </c>
    </row>
    <row r="117" spans="1:7" s="31" customFormat="1" ht="19.8" customHeight="1" x14ac:dyDescent="0.3">
      <c r="A117" s="14">
        <f t="shared" si="17"/>
        <v>116</v>
      </c>
      <c r="B117" s="62"/>
      <c r="C117" s="15">
        <f t="shared" si="14"/>
        <v>0</v>
      </c>
      <c r="D117" s="38"/>
      <c r="E117" s="32" t="e">
        <f t="shared" si="15"/>
        <v>#DIV/0!</v>
      </c>
      <c r="F117" s="43"/>
      <c r="G117" s="32" t="e">
        <f t="shared" si="16"/>
        <v>#DIV/0!</v>
      </c>
    </row>
    <row r="118" spans="1:7" s="31" customFormat="1" ht="19.8" customHeight="1" x14ac:dyDescent="0.3">
      <c r="A118" s="14">
        <f t="shared" si="17"/>
        <v>117</v>
      </c>
      <c r="B118" s="62"/>
      <c r="C118" s="15">
        <f t="shared" si="14"/>
        <v>0</v>
      </c>
      <c r="D118" s="38"/>
      <c r="E118" s="32" t="e">
        <f t="shared" si="15"/>
        <v>#DIV/0!</v>
      </c>
      <c r="F118" s="43"/>
      <c r="G118" s="32" t="e">
        <f t="shared" si="16"/>
        <v>#DIV/0!</v>
      </c>
    </row>
    <row r="119" spans="1:7" s="31" customFormat="1" ht="19.8" customHeight="1" x14ac:dyDescent="0.3">
      <c r="A119" s="14">
        <f t="shared" si="17"/>
        <v>118</v>
      </c>
      <c r="B119" s="62"/>
      <c r="C119" s="15">
        <f t="shared" si="14"/>
        <v>0</v>
      </c>
      <c r="D119" s="38"/>
      <c r="E119" s="32" t="e">
        <f t="shared" si="15"/>
        <v>#DIV/0!</v>
      </c>
      <c r="F119" s="43"/>
      <c r="G119" s="32" t="e">
        <f t="shared" si="16"/>
        <v>#DIV/0!</v>
      </c>
    </row>
    <row r="120" spans="1:7" s="31" customFormat="1" ht="19.8" customHeight="1" x14ac:dyDescent="0.3">
      <c r="A120" s="14">
        <f t="shared" si="17"/>
        <v>119</v>
      </c>
      <c r="B120" s="62"/>
      <c r="C120" s="15">
        <f t="shared" si="14"/>
        <v>0</v>
      </c>
      <c r="D120" s="38"/>
      <c r="E120" s="32" t="e">
        <f t="shared" si="15"/>
        <v>#DIV/0!</v>
      </c>
      <c r="F120" s="43"/>
      <c r="G120" s="32" t="e">
        <f t="shared" si="16"/>
        <v>#DIV/0!</v>
      </c>
    </row>
    <row r="121" spans="1:7" s="31" customFormat="1" ht="19.8" customHeight="1" x14ac:dyDescent="0.3">
      <c r="A121" s="14">
        <f t="shared" si="17"/>
        <v>120</v>
      </c>
      <c r="B121" s="62"/>
      <c r="C121" s="15">
        <f t="shared" si="14"/>
        <v>0</v>
      </c>
      <c r="D121" s="38"/>
      <c r="E121" s="32" t="e">
        <f t="shared" si="15"/>
        <v>#DIV/0!</v>
      </c>
      <c r="F121" s="43"/>
      <c r="G121" s="32" t="e">
        <f t="shared" si="16"/>
        <v>#DIV/0!</v>
      </c>
    </row>
    <row r="122" spans="1:7" s="31" customFormat="1" ht="19.8" customHeight="1" x14ac:dyDescent="0.3">
      <c r="A122" s="14">
        <f t="shared" si="17"/>
        <v>121</v>
      </c>
      <c r="B122" s="62"/>
      <c r="C122" s="15">
        <f t="shared" si="14"/>
        <v>0</v>
      </c>
      <c r="D122" s="38"/>
      <c r="E122" s="32" t="e">
        <f t="shared" si="15"/>
        <v>#DIV/0!</v>
      </c>
      <c r="F122" s="43"/>
      <c r="G122" s="32" t="e">
        <f t="shared" si="16"/>
        <v>#DIV/0!</v>
      </c>
    </row>
    <row r="123" spans="1:7" s="31" customFormat="1" ht="19.8" customHeight="1" x14ac:dyDescent="0.3">
      <c r="A123" s="14">
        <f t="shared" si="17"/>
        <v>122</v>
      </c>
      <c r="B123" s="62"/>
      <c r="C123" s="15">
        <f t="shared" si="14"/>
        <v>0</v>
      </c>
      <c r="D123" s="38"/>
      <c r="E123" s="32" t="e">
        <f t="shared" si="15"/>
        <v>#DIV/0!</v>
      </c>
      <c r="F123" s="43"/>
      <c r="G123" s="32" t="e">
        <f t="shared" si="16"/>
        <v>#DIV/0!</v>
      </c>
    </row>
    <row r="124" spans="1:7" s="31" customFormat="1" ht="19.8" customHeight="1" x14ac:dyDescent="0.3">
      <c r="A124" s="14">
        <f t="shared" si="17"/>
        <v>123</v>
      </c>
      <c r="B124" s="62"/>
      <c r="C124" s="15">
        <f t="shared" si="14"/>
        <v>0</v>
      </c>
      <c r="D124" s="38"/>
      <c r="E124" s="32" t="e">
        <f t="shared" si="15"/>
        <v>#DIV/0!</v>
      </c>
      <c r="F124" s="43"/>
      <c r="G124" s="32" t="e">
        <f t="shared" si="16"/>
        <v>#DIV/0!</v>
      </c>
    </row>
    <row r="125" spans="1:7" s="31" customFormat="1" ht="19.8" customHeight="1" x14ac:dyDescent="0.3">
      <c r="A125" s="14">
        <f t="shared" si="17"/>
        <v>124</v>
      </c>
      <c r="B125" s="62"/>
      <c r="C125" s="15">
        <f t="shared" si="14"/>
        <v>0</v>
      </c>
      <c r="D125" s="38"/>
      <c r="E125" s="32" t="e">
        <f t="shared" si="15"/>
        <v>#DIV/0!</v>
      </c>
      <c r="F125" s="43"/>
      <c r="G125" s="32" t="e">
        <f t="shared" si="16"/>
        <v>#DIV/0!</v>
      </c>
    </row>
    <row r="126" spans="1:7" s="31" customFormat="1" ht="19.8" customHeight="1" thickBot="1" x14ac:dyDescent="0.35">
      <c r="A126" s="14">
        <f t="shared" si="17"/>
        <v>125</v>
      </c>
      <c r="B126" s="62"/>
      <c r="C126" s="15">
        <f t="shared" si="14"/>
        <v>0</v>
      </c>
      <c r="D126" s="39"/>
      <c r="E126" s="32" t="e">
        <f t="shared" si="15"/>
        <v>#DIV/0!</v>
      </c>
      <c r="F126" s="44"/>
      <c r="G126" s="32" t="e">
        <f t="shared" si="16"/>
        <v>#DIV/0!</v>
      </c>
    </row>
    <row r="127" spans="1:7" s="31" customFormat="1" ht="19.8" customHeight="1" thickTop="1" x14ac:dyDescent="0.3">
      <c r="A127" s="14">
        <f t="shared" si="17"/>
        <v>126</v>
      </c>
      <c r="B127" s="62"/>
      <c r="C127" s="15">
        <f t="shared" si="14"/>
        <v>0</v>
      </c>
      <c r="D127" s="40"/>
      <c r="E127" s="32" t="e">
        <f t="shared" si="15"/>
        <v>#DIV/0!</v>
      </c>
      <c r="F127" s="45"/>
      <c r="G127" s="32" t="e">
        <f t="shared" si="16"/>
        <v>#DIV/0!</v>
      </c>
    </row>
    <row r="128" spans="1:7" s="31" customFormat="1" ht="19.8" customHeight="1" x14ac:dyDescent="0.3">
      <c r="A128" s="14">
        <f t="shared" si="17"/>
        <v>127</v>
      </c>
      <c r="B128" s="62"/>
      <c r="C128" s="15">
        <f t="shared" si="14"/>
        <v>0</v>
      </c>
      <c r="D128" s="38"/>
      <c r="E128" s="32" t="e">
        <f t="shared" si="15"/>
        <v>#DIV/0!</v>
      </c>
      <c r="F128" s="43"/>
      <c r="G128" s="32" t="e">
        <f t="shared" si="16"/>
        <v>#DIV/0!</v>
      </c>
    </row>
    <row r="129" spans="1:30" s="31" customFormat="1" ht="19.8" customHeight="1" x14ac:dyDescent="0.3">
      <c r="A129" s="14">
        <f t="shared" si="17"/>
        <v>128</v>
      </c>
      <c r="B129" s="62"/>
      <c r="C129" s="15">
        <f t="shared" si="14"/>
        <v>0</v>
      </c>
      <c r="D129" s="38"/>
      <c r="E129" s="32" t="e">
        <f t="shared" si="15"/>
        <v>#DIV/0!</v>
      </c>
      <c r="F129" s="43"/>
      <c r="G129" s="32" t="e">
        <f t="shared" si="16"/>
        <v>#DIV/0!</v>
      </c>
    </row>
    <row r="130" spans="1:30" s="31" customFormat="1" ht="19.8" customHeight="1" x14ac:dyDescent="0.3">
      <c r="A130" s="14">
        <f t="shared" si="17"/>
        <v>129</v>
      </c>
      <c r="B130" s="62"/>
      <c r="C130" s="15">
        <f t="shared" si="14"/>
        <v>0</v>
      </c>
      <c r="D130" s="38"/>
      <c r="E130" s="32" t="e">
        <f t="shared" si="15"/>
        <v>#DIV/0!</v>
      </c>
      <c r="F130" s="43"/>
      <c r="G130" s="32" t="e">
        <f t="shared" si="16"/>
        <v>#DIV/0!</v>
      </c>
    </row>
    <row r="131" spans="1:30" s="31" customFormat="1" ht="19.8" customHeight="1" x14ac:dyDescent="0.3">
      <c r="A131" s="14">
        <f t="shared" si="17"/>
        <v>130</v>
      </c>
      <c r="B131" s="62"/>
      <c r="C131" s="15">
        <f t="shared" si="14"/>
        <v>0</v>
      </c>
      <c r="D131" s="38"/>
      <c r="E131" s="32" t="e">
        <f t="shared" si="15"/>
        <v>#DIV/0!</v>
      </c>
      <c r="F131" s="43"/>
      <c r="G131" s="32" t="e">
        <f t="shared" si="16"/>
        <v>#DIV/0!</v>
      </c>
    </row>
    <row r="132" spans="1:30" s="31" customFormat="1" ht="19.8" customHeight="1" x14ac:dyDescent="0.3">
      <c r="A132" s="14">
        <f t="shared" si="17"/>
        <v>131</v>
      </c>
      <c r="B132" s="62"/>
      <c r="C132" s="15">
        <f t="shared" si="14"/>
        <v>0</v>
      </c>
      <c r="D132" s="38"/>
      <c r="E132" s="32" t="e">
        <f t="shared" si="15"/>
        <v>#DIV/0!</v>
      </c>
      <c r="F132" s="43"/>
      <c r="G132" s="32" t="e">
        <f t="shared" si="16"/>
        <v>#DIV/0!</v>
      </c>
    </row>
    <row r="133" spans="1:30" s="31" customFormat="1" ht="19.8" customHeight="1" x14ac:dyDescent="0.3">
      <c r="A133" s="14">
        <f t="shared" si="17"/>
        <v>132</v>
      </c>
      <c r="B133" s="62"/>
      <c r="C133" s="15">
        <f t="shared" si="14"/>
        <v>0</v>
      </c>
      <c r="D133" s="38"/>
      <c r="E133" s="32" t="e">
        <f t="shared" si="15"/>
        <v>#DIV/0!</v>
      </c>
      <c r="F133" s="43"/>
      <c r="G133" s="32" t="e">
        <f t="shared" si="16"/>
        <v>#DIV/0!</v>
      </c>
    </row>
    <row r="134" spans="1:30" s="31" customFormat="1" ht="19.8" customHeight="1" x14ac:dyDescent="0.3">
      <c r="A134" s="14">
        <f t="shared" si="17"/>
        <v>133</v>
      </c>
      <c r="B134" s="62"/>
      <c r="C134" s="15">
        <f t="shared" si="14"/>
        <v>0</v>
      </c>
      <c r="D134" s="38"/>
      <c r="E134" s="32" t="e">
        <f t="shared" si="15"/>
        <v>#DIV/0!</v>
      </c>
      <c r="F134" s="43"/>
      <c r="G134" s="32" t="e">
        <f t="shared" si="16"/>
        <v>#DIV/0!</v>
      </c>
    </row>
    <row r="135" spans="1:30" s="31" customFormat="1" ht="19.8" customHeight="1" x14ac:dyDescent="0.3">
      <c r="A135" s="14">
        <f t="shared" si="17"/>
        <v>134</v>
      </c>
      <c r="B135" s="62"/>
      <c r="C135" s="15">
        <f t="shared" si="14"/>
        <v>0</v>
      </c>
      <c r="D135" s="38"/>
      <c r="E135" s="32" t="e">
        <f t="shared" si="15"/>
        <v>#DIV/0!</v>
      </c>
      <c r="F135" s="43"/>
      <c r="G135" s="32" t="e">
        <f t="shared" si="16"/>
        <v>#DIV/0!</v>
      </c>
    </row>
    <row r="136" spans="1:30" s="31" customFormat="1" ht="19.8" customHeight="1" x14ac:dyDescent="0.3">
      <c r="A136" s="14">
        <f t="shared" si="17"/>
        <v>135</v>
      </c>
      <c r="B136" s="62"/>
      <c r="C136" s="15">
        <f t="shared" si="14"/>
        <v>0</v>
      </c>
      <c r="D136" s="38"/>
      <c r="E136" s="32" t="e">
        <f t="shared" si="15"/>
        <v>#DIV/0!</v>
      </c>
      <c r="F136" s="43"/>
      <c r="G136" s="32" t="e">
        <f t="shared" si="16"/>
        <v>#DIV/0!</v>
      </c>
    </row>
    <row r="137" spans="1:30" s="31" customFormat="1" ht="19.8" customHeight="1" x14ac:dyDescent="0.3">
      <c r="A137" s="14">
        <f t="shared" si="17"/>
        <v>136</v>
      </c>
      <c r="B137" s="62"/>
      <c r="C137" s="15">
        <f t="shared" si="14"/>
        <v>0</v>
      </c>
      <c r="D137" s="38"/>
      <c r="E137" s="32" t="e">
        <f t="shared" si="15"/>
        <v>#DIV/0!</v>
      </c>
      <c r="F137" s="43"/>
      <c r="G137" s="32" t="e">
        <f t="shared" si="16"/>
        <v>#DIV/0!</v>
      </c>
    </row>
    <row r="138" spans="1:30" s="31" customFormat="1" ht="19.8" customHeight="1" x14ac:dyDescent="0.3">
      <c r="A138" s="14">
        <f t="shared" si="17"/>
        <v>137</v>
      </c>
      <c r="B138" s="62"/>
      <c r="C138" s="15">
        <f t="shared" si="14"/>
        <v>0</v>
      </c>
      <c r="D138" s="38"/>
      <c r="E138" s="32" t="e">
        <f t="shared" si="15"/>
        <v>#DIV/0!</v>
      </c>
      <c r="F138" s="43"/>
      <c r="G138" s="32" t="e">
        <f t="shared" si="16"/>
        <v>#DIV/0!</v>
      </c>
    </row>
    <row r="139" spans="1:30" s="31" customFormat="1" ht="19.8" customHeight="1" x14ac:dyDescent="0.3">
      <c r="A139" s="14">
        <f t="shared" si="17"/>
        <v>138</v>
      </c>
      <c r="B139" s="62"/>
      <c r="C139" s="15">
        <f t="shared" si="14"/>
        <v>0</v>
      </c>
      <c r="D139" s="38"/>
      <c r="E139" s="32" t="e">
        <f t="shared" si="15"/>
        <v>#DIV/0!</v>
      </c>
      <c r="F139" s="43"/>
      <c r="G139" s="32" t="e">
        <f t="shared" si="16"/>
        <v>#DIV/0!</v>
      </c>
    </row>
    <row r="140" spans="1:30" s="31" customFormat="1" ht="19.8" customHeight="1" x14ac:dyDescent="0.3">
      <c r="A140" s="14">
        <f t="shared" si="17"/>
        <v>139</v>
      </c>
      <c r="B140" s="62"/>
      <c r="C140" s="15">
        <f t="shared" si="14"/>
        <v>0</v>
      </c>
      <c r="D140" s="38"/>
      <c r="E140" s="32" t="e">
        <f t="shared" si="15"/>
        <v>#DIV/0!</v>
      </c>
      <c r="F140" s="43"/>
      <c r="G140" s="32" t="e">
        <f t="shared" si="16"/>
        <v>#DIV/0!</v>
      </c>
    </row>
    <row r="141" spans="1:30" s="31" customFormat="1" ht="19.8" customHeight="1" x14ac:dyDescent="0.3">
      <c r="A141" s="14">
        <f t="shared" si="17"/>
        <v>140</v>
      </c>
      <c r="B141" s="62"/>
      <c r="C141" s="15">
        <f t="shared" si="14"/>
        <v>0</v>
      </c>
      <c r="D141" s="38"/>
      <c r="E141" s="32" t="e">
        <f t="shared" si="15"/>
        <v>#DIV/0!</v>
      </c>
      <c r="F141" s="43"/>
      <c r="G141" s="32" t="e">
        <f t="shared" si="16"/>
        <v>#DIV/0!</v>
      </c>
    </row>
    <row r="142" spans="1:30" s="31" customFormat="1" ht="19.8" customHeight="1" x14ac:dyDescent="0.3">
      <c r="A142" s="14">
        <f t="shared" si="17"/>
        <v>141</v>
      </c>
      <c r="B142" s="62"/>
      <c r="C142" s="15">
        <f t="shared" si="14"/>
        <v>0</v>
      </c>
      <c r="D142" s="38"/>
      <c r="E142" s="32" t="e">
        <f t="shared" si="15"/>
        <v>#DIV/0!</v>
      </c>
      <c r="F142" s="43"/>
      <c r="G142" s="32" t="e">
        <f t="shared" si="16"/>
        <v>#DIV/0!</v>
      </c>
    </row>
    <row r="143" spans="1:30" s="2" customFormat="1" ht="19.8" customHeight="1" x14ac:dyDescent="0.3">
      <c r="A143" s="14">
        <f t="shared" si="17"/>
        <v>142</v>
      </c>
      <c r="B143" s="62"/>
      <c r="C143" s="15">
        <f t="shared" si="14"/>
        <v>0</v>
      </c>
      <c r="D143" s="38"/>
      <c r="E143" s="32" t="e">
        <f t="shared" si="15"/>
        <v>#DIV/0!</v>
      </c>
      <c r="F143" s="43"/>
      <c r="G143" s="52" t="e">
        <f t="shared" si="16"/>
        <v>#DIV/0!</v>
      </c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57"/>
    </row>
    <row r="144" spans="1:30" s="2" customFormat="1" ht="19.8" customHeight="1" x14ac:dyDescent="0.3">
      <c r="A144" s="14">
        <f t="shared" si="17"/>
        <v>143</v>
      </c>
      <c r="B144" s="62"/>
      <c r="C144" s="15">
        <f t="shared" si="14"/>
        <v>0</v>
      </c>
      <c r="D144" s="38"/>
      <c r="E144" s="32" t="e">
        <f t="shared" si="15"/>
        <v>#DIV/0!</v>
      </c>
      <c r="F144" s="43"/>
      <c r="G144" s="52" t="e">
        <f t="shared" si="16"/>
        <v>#DIV/0!</v>
      </c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57"/>
    </row>
    <row r="145" spans="1:30" s="2" customFormat="1" ht="19.8" customHeight="1" x14ac:dyDescent="0.3">
      <c r="A145" s="14">
        <f t="shared" si="17"/>
        <v>144</v>
      </c>
      <c r="B145" s="62"/>
      <c r="C145" s="15">
        <f t="shared" si="14"/>
        <v>0</v>
      </c>
      <c r="D145" s="38"/>
      <c r="E145" s="32" t="e">
        <f t="shared" si="15"/>
        <v>#DIV/0!</v>
      </c>
      <c r="F145" s="43"/>
      <c r="G145" s="52" t="e">
        <f t="shared" si="16"/>
        <v>#DIV/0!</v>
      </c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57"/>
    </row>
    <row r="146" spans="1:30" s="2" customFormat="1" ht="19.8" customHeight="1" x14ac:dyDescent="0.3">
      <c r="A146" s="14">
        <f t="shared" si="17"/>
        <v>145</v>
      </c>
      <c r="B146" s="62"/>
      <c r="C146" s="15">
        <f t="shared" si="14"/>
        <v>0</v>
      </c>
      <c r="D146" s="38"/>
      <c r="E146" s="32" t="e">
        <f t="shared" si="15"/>
        <v>#DIV/0!</v>
      </c>
      <c r="F146" s="43"/>
      <c r="G146" s="52" t="e">
        <f t="shared" si="16"/>
        <v>#DIV/0!</v>
      </c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57"/>
    </row>
    <row r="147" spans="1:30" s="31" customFormat="1" ht="19.8" customHeight="1" x14ac:dyDescent="0.3">
      <c r="A147" s="14">
        <f t="shared" si="17"/>
        <v>146</v>
      </c>
      <c r="B147" s="62"/>
      <c r="C147" s="15">
        <f t="shared" si="14"/>
        <v>0</v>
      </c>
      <c r="D147" s="38"/>
      <c r="E147" s="32" t="e">
        <f t="shared" si="15"/>
        <v>#DIV/0!</v>
      </c>
      <c r="F147" s="43"/>
      <c r="G147" s="32" t="e">
        <f t="shared" si="16"/>
        <v>#DIV/0!</v>
      </c>
    </row>
    <row r="148" spans="1:30" s="31" customFormat="1" ht="19.8" customHeight="1" x14ac:dyDescent="0.3">
      <c r="A148" s="14">
        <f t="shared" si="17"/>
        <v>147</v>
      </c>
      <c r="B148" s="62"/>
      <c r="C148" s="15">
        <f t="shared" si="14"/>
        <v>0</v>
      </c>
      <c r="D148" s="38"/>
      <c r="E148" s="32" t="e">
        <f t="shared" si="15"/>
        <v>#DIV/0!</v>
      </c>
      <c r="F148" s="43"/>
      <c r="G148" s="32" t="e">
        <f t="shared" si="16"/>
        <v>#DIV/0!</v>
      </c>
    </row>
    <row r="149" spans="1:30" s="31" customFormat="1" ht="19.8" customHeight="1" x14ac:dyDescent="0.3">
      <c r="A149" s="14">
        <f t="shared" si="17"/>
        <v>148</v>
      </c>
      <c r="B149" s="62"/>
      <c r="C149" s="15">
        <f t="shared" si="14"/>
        <v>0</v>
      </c>
      <c r="D149" s="38"/>
      <c r="E149" s="32" t="e">
        <f t="shared" si="15"/>
        <v>#DIV/0!</v>
      </c>
      <c r="F149" s="43"/>
      <c r="G149" s="32" t="e">
        <f t="shared" si="16"/>
        <v>#DIV/0!</v>
      </c>
    </row>
    <row r="150" spans="1:30" s="31" customFormat="1" ht="19.8" customHeight="1" x14ac:dyDescent="0.3">
      <c r="A150" s="14">
        <f t="shared" si="17"/>
        <v>149</v>
      </c>
      <c r="B150" s="62"/>
      <c r="C150" s="15">
        <f t="shared" si="14"/>
        <v>0</v>
      </c>
      <c r="D150" s="38"/>
      <c r="E150" s="32" t="e">
        <f t="shared" si="15"/>
        <v>#DIV/0!</v>
      </c>
      <c r="F150" s="43"/>
      <c r="G150" s="32" t="e">
        <f t="shared" si="16"/>
        <v>#DIV/0!</v>
      </c>
    </row>
    <row r="151" spans="1:30" s="30" customFormat="1" ht="19.8" customHeight="1" thickBot="1" x14ac:dyDescent="0.35">
      <c r="A151" s="41">
        <f t="shared" si="17"/>
        <v>150</v>
      </c>
      <c r="B151" s="63"/>
      <c r="C151" s="35">
        <f t="shared" ref="C151" si="18">B151*0.000382</f>
        <v>0</v>
      </c>
      <c r="D151" s="42"/>
      <c r="E151" s="36" t="e">
        <f t="shared" ref="E151" si="19" xml:space="preserve"> C151/D151</f>
        <v>#DIV/0!</v>
      </c>
      <c r="F151" s="43"/>
      <c r="G151" s="36" t="e">
        <f t="shared" ref="G151" si="20" xml:space="preserve"> 1.945*10^-10*E151^1.5/F151</f>
        <v>#DIV/0!</v>
      </c>
    </row>
    <row r="152" spans="1:30" ht="19.8" customHeight="1" x14ac:dyDescent="0.3">
      <c r="A152" s="31"/>
    </row>
    <row r="153" spans="1:30" ht="19.8" customHeight="1" x14ac:dyDescent="0.3">
      <c r="A153" s="3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53"/>
  <sheetViews>
    <sheetView topLeftCell="A37" zoomScale="91" zoomScaleNormal="100" workbookViewId="0">
      <selection activeCell="B52" sqref="B52:F52"/>
    </sheetView>
  </sheetViews>
  <sheetFormatPr defaultColWidth="9.77734375" defaultRowHeight="19.8" customHeight="1" x14ac:dyDescent="0.3"/>
  <cols>
    <col min="1" max="1" width="9.77734375" style="16"/>
    <col min="2" max="2" width="8.5546875" style="16" customWidth="1"/>
    <col min="3" max="4" width="9.77734375" style="16"/>
    <col min="5" max="5" width="9.77734375" style="16" customWidth="1"/>
    <col min="6" max="6" width="10.44140625" style="16" bestFit="1" customWidth="1"/>
    <col min="7" max="7" width="12.5546875" style="16" customWidth="1"/>
    <col min="8" max="8" width="9.77734375" style="16"/>
    <col min="9" max="9" width="22.109375" style="16" customWidth="1"/>
    <col min="10" max="16384" width="9.77734375" style="16"/>
  </cols>
  <sheetData>
    <row r="1" spans="1:10" ht="19.8" customHeight="1" thickTop="1" x14ac:dyDescent="0.3">
      <c r="A1" s="24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I1" s="24" t="s">
        <v>11</v>
      </c>
      <c r="J1" s="51" t="s">
        <v>7</v>
      </c>
    </row>
    <row r="2" spans="1:10" ht="19.8" customHeight="1" x14ac:dyDescent="0.3">
      <c r="A2" s="41">
        <v>1</v>
      </c>
      <c r="B2" s="58">
        <v>2</v>
      </c>
      <c r="C2" s="2">
        <f>B2*0.000382</f>
        <v>7.6400000000000003E-4</v>
      </c>
      <c r="D2" s="42">
        <v>27.55</v>
      </c>
      <c r="E2" s="52">
        <f xml:space="preserve"> C2/D2</f>
        <v>2.7731397459165155E-5</v>
      </c>
      <c r="F2" s="43">
        <v>47.7</v>
      </c>
      <c r="G2" s="52">
        <f xml:space="preserve"> 1.945*10^-10*E2^1.5/F2</f>
        <v>5.9546859220518858E-19</v>
      </c>
      <c r="I2" s="23">
        <f>0.1*10^-19</f>
        <v>1.0000000000000001E-20</v>
      </c>
      <c r="J2" s="17">
        <f xml:space="preserve"> COUNTIF($G$2:$G$151,"&lt;="&amp;I2)</f>
        <v>0</v>
      </c>
    </row>
    <row r="3" spans="1:10" ht="19.8" customHeight="1" x14ac:dyDescent="0.3">
      <c r="A3" s="41">
        <f xml:space="preserve"> A2+1</f>
        <v>2</v>
      </c>
      <c r="B3" s="58">
        <v>1</v>
      </c>
      <c r="C3" s="2">
        <f>B3*0.000382</f>
        <v>3.8200000000000002E-4</v>
      </c>
      <c r="D3" s="42">
        <v>14.5</v>
      </c>
      <c r="E3" s="52">
        <f t="shared" ref="E3:E66" si="0" xml:space="preserve"> C3/D3</f>
        <v>2.6344827586206898E-5</v>
      </c>
      <c r="F3" s="43">
        <v>44.5</v>
      </c>
      <c r="G3" s="52">
        <f t="shared" ref="G3:G66" si="1" xml:space="preserve"> 1.945*10^-10*E3^1.5/F3</f>
        <v>5.9102062345274199E-19</v>
      </c>
      <c r="I3" s="23">
        <f xml:space="preserve"> I2 + 0.1*10^-19</f>
        <v>2.0000000000000002E-20</v>
      </c>
      <c r="J3" s="17">
        <f xml:space="preserve"> COUNTIF($G$2:$G$151,"&lt;="&amp;I3)-SUM(J2)</f>
        <v>0</v>
      </c>
    </row>
    <row r="4" spans="1:10" ht="19.8" customHeight="1" x14ac:dyDescent="0.3">
      <c r="A4" s="41">
        <f xml:space="preserve"> A3+1</f>
        <v>3</v>
      </c>
      <c r="B4" s="58">
        <v>1</v>
      </c>
      <c r="C4" s="2">
        <f>B4*0.000382</f>
        <v>3.8200000000000002E-4</v>
      </c>
      <c r="D4" s="42">
        <v>9.25</v>
      </c>
      <c r="E4" s="52">
        <f t="shared" si="0"/>
        <v>4.1297297297297296E-5</v>
      </c>
      <c r="F4" s="43">
        <v>350.9</v>
      </c>
      <c r="G4" s="52">
        <f t="shared" si="1"/>
        <v>1.4710203565527296E-19</v>
      </c>
      <c r="I4" s="23">
        <f t="shared" ref="I4:I50" si="2" xml:space="preserve"> I3 + 0.1*10^-19</f>
        <v>3.0000000000000003E-20</v>
      </c>
      <c r="J4" s="17">
        <f xml:space="preserve"> COUNTIF($G$2:$G$151,"&lt;="&amp;I4)-SUM(J2:J3)</f>
        <v>0</v>
      </c>
    </row>
    <row r="5" spans="1:10" ht="19.8" customHeight="1" x14ac:dyDescent="0.3">
      <c r="A5" s="41">
        <f xml:space="preserve"> A4+1</f>
        <v>4</v>
      </c>
      <c r="B5" s="58">
        <v>1</v>
      </c>
      <c r="C5" s="2">
        <f>B5*0.000382</f>
        <v>3.8200000000000002E-4</v>
      </c>
      <c r="D5" s="42">
        <v>8.5299999999999994</v>
      </c>
      <c r="E5" s="52">
        <f t="shared" si="0"/>
        <v>4.4783118405627203E-5</v>
      </c>
      <c r="F5" s="43">
        <v>48.2</v>
      </c>
      <c r="G5" s="52">
        <f t="shared" si="1"/>
        <v>1.2093278793605447E-18</v>
      </c>
      <c r="I5" s="23">
        <f t="shared" si="2"/>
        <v>4.0000000000000004E-20</v>
      </c>
      <c r="J5" s="17">
        <f xml:space="preserve"> COUNTIF($G$2:$G$151,"&lt;="&amp;I5)-SUM(J2:J4)</f>
        <v>0</v>
      </c>
    </row>
    <row r="6" spans="1:10" ht="19.8" customHeight="1" x14ac:dyDescent="0.3">
      <c r="A6" s="41">
        <f xml:space="preserve"> A5+1</f>
        <v>5</v>
      </c>
      <c r="B6" s="58">
        <v>1</v>
      </c>
      <c r="C6" s="2">
        <f>B6*0.000382</f>
        <v>3.8200000000000002E-4</v>
      </c>
      <c r="D6" s="42">
        <v>9.89</v>
      </c>
      <c r="E6" s="52">
        <f t="shared" si="0"/>
        <v>3.8624873609706773E-5</v>
      </c>
      <c r="F6" s="43">
        <v>47.4</v>
      </c>
      <c r="G6" s="52">
        <f t="shared" si="1"/>
        <v>9.8501279291173763E-19</v>
      </c>
      <c r="I6" s="23">
        <f t="shared" si="2"/>
        <v>5.0000000000000005E-20</v>
      </c>
      <c r="J6" s="17">
        <f xml:space="preserve"> COUNTIF($G$2:$G$151,"&lt;="&amp;I6)-SUM(J2:J5)</f>
        <v>0</v>
      </c>
    </row>
    <row r="7" spans="1:10" ht="19.8" customHeight="1" x14ac:dyDescent="0.3">
      <c r="A7" s="41">
        <f xml:space="preserve"> A6+1</f>
        <v>6</v>
      </c>
      <c r="B7" s="58">
        <v>1</v>
      </c>
      <c r="C7" s="2">
        <f>B7*0.000382</f>
        <v>3.8200000000000002E-4</v>
      </c>
      <c r="D7" s="42">
        <v>9.41</v>
      </c>
      <c r="E7" s="52">
        <f t="shared" si="0"/>
        <v>4.0595111583421892E-5</v>
      </c>
      <c r="F7" s="43">
        <v>51.5</v>
      </c>
      <c r="G7" s="52">
        <f t="shared" si="1"/>
        <v>9.7683898985391823E-19</v>
      </c>
      <c r="I7" s="23">
        <f t="shared" si="2"/>
        <v>6.0000000000000006E-20</v>
      </c>
      <c r="J7" s="17">
        <f xml:space="preserve"> COUNTIF($G$2:$G$151,"&lt;="&amp;I7)-SUM(J2:J6)</f>
        <v>0</v>
      </c>
    </row>
    <row r="8" spans="1:10" ht="19.8" customHeight="1" x14ac:dyDescent="0.3">
      <c r="A8" s="41">
        <f xml:space="preserve"> A7+1</f>
        <v>7</v>
      </c>
      <c r="B8" s="58">
        <v>1</v>
      </c>
      <c r="C8" s="2">
        <f>B8*0.000382</f>
        <v>3.8200000000000002E-4</v>
      </c>
      <c r="D8" s="42">
        <v>8.9</v>
      </c>
      <c r="E8" s="52">
        <f t="shared" si="0"/>
        <v>4.2921348314606742E-5</v>
      </c>
      <c r="F8" s="43">
        <v>51.5</v>
      </c>
      <c r="G8" s="52">
        <f t="shared" si="1"/>
        <v>1.0619948507882894E-18</v>
      </c>
      <c r="I8" s="23">
        <f t="shared" si="2"/>
        <v>7.0000000000000013E-20</v>
      </c>
      <c r="J8" s="17">
        <f xml:space="preserve"> COUNTIF($G$2:$G$151,"&lt;="&amp;I8)-SUM(J2:J7)</f>
        <v>0</v>
      </c>
    </row>
    <row r="9" spans="1:10" ht="19.8" customHeight="1" x14ac:dyDescent="0.3">
      <c r="A9" s="41">
        <f xml:space="preserve"> A8+1</f>
        <v>8</v>
      </c>
      <c r="B9" s="58">
        <v>1</v>
      </c>
      <c r="C9" s="2">
        <f>B9*0.000382</f>
        <v>3.8200000000000002E-4</v>
      </c>
      <c r="D9" s="42">
        <v>8.2799999999999994</v>
      </c>
      <c r="E9" s="52">
        <f t="shared" si="0"/>
        <v>4.6135265700483098E-5</v>
      </c>
      <c r="F9" s="43">
        <v>51.5</v>
      </c>
      <c r="G9" s="52">
        <f t="shared" si="1"/>
        <v>1.1834827053436685E-18</v>
      </c>
      <c r="I9" s="23">
        <f t="shared" si="2"/>
        <v>8.0000000000000008E-20</v>
      </c>
      <c r="J9" s="17">
        <f xml:space="preserve"> COUNTIF($G$2:$G$151,"&lt;="&amp;I9)-SUM(J2:J8)</f>
        <v>0</v>
      </c>
    </row>
    <row r="10" spans="1:10" ht="19.8" customHeight="1" x14ac:dyDescent="0.3">
      <c r="A10" s="41">
        <f xml:space="preserve"> A9+1</f>
        <v>9</v>
      </c>
      <c r="B10" s="58">
        <v>1</v>
      </c>
      <c r="C10" s="2">
        <f>B10*0.000382</f>
        <v>3.8200000000000002E-4</v>
      </c>
      <c r="D10" s="42">
        <v>8.56</v>
      </c>
      <c r="E10" s="52">
        <f t="shared" si="0"/>
        <v>4.4626168224299063E-5</v>
      </c>
      <c r="F10" s="43">
        <v>51.5</v>
      </c>
      <c r="G10" s="52">
        <f t="shared" si="1"/>
        <v>1.1258921055086122E-18</v>
      </c>
      <c r="I10" s="23">
        <f t="shared" si="2"/>
        <v>9.0000000000000003E-20</v>
      </c>
      <c r="J10" s="17">
        <f xml:space="preserve"> COUNTIF($G$2:$G$151,"&lt;="&amp;I10)-SUM(J2:J9)</f>
        <v>0</v>
      </c>
    </row>
    <row r="11" spans="1:10" ht="19.8" customHeight="1" x14ac:dyDescent="0.3">
      <c r="A11" s="41">
        <f xml:space="preserve"> A10+1</f>
        <v>10</v>
      </c>
      <c r="B11" s="58">
        <v>1</v>
      </c>
      <c r="C11" s="2">
        <f>B11*0.000382</f>
        <v>3.8200000000000002E-4</v>
      </c>
      <c r="D11" s="42">
        <v>7.96</v>
      </c>
      <c r="E11" s="52">
        <f t="shared" si="0"/>
        <v>4.7989949748743719E-5</v>
      </c>
      <c r="F11" s="43">
        <v>352.4</v>
      </c>
      <c r="G11" s="52">
        <f t="shared" si="1"/>
        <v>1.8348862603661859E-19</v>
      </c>
      <c r="I11" s="23">
        <f t="shared" si="2"/>
        <v>9.9999999999999998E-20</v>
      </c>
      <c r="J11" s="17">
        <f xml:space="preserve"> COUNTIF($G$2:$G$151,"&lt;="&amp;I11)-SUM(J2:J10)</f>
        <v>0</v>
      </c>
    </row>
    <row r="12" spans="1:10" ht="19.8" customHeight="1" x14ac:dyDescent="0.3">
      <c r="A12" s="41">
        <f xml:space="preserve"> A11+1</f>
        <v>11</v>
      </c>
      <c r="B12" s="58">
        <v>1</v>
      </c>
      <c r="C12" s="2">
        <f>B12*0.000382</f>
        <v>3.8200000000000002E-4</v>
      </c>
      <c r="D12" s="42">
        <v>9.7799999999999994</v>
      </c>
      <c r="E12" s="52">
        <f t="shared" si="0"/>
        <v>3.9059304703476487E-5</v>
      </c>
      <c r="F12" s="43">
        <v>352.4</v>
      </c>
      <c r="G12" s="52">
        <f t="shared" si="1"/>
        <v>1.3473191049417388E-19</v>
      </c>
      <c r="I12" s="23">
        <f t="shared" si="2"/>
        <v>1.0999999999999999E-19</v>
      </c>
      <c r="J12" s="17">
        <f xml:space="preserve"> COUNTIF($G$2:$G$151,"&lt;="&amp;I12)-SUM(J2:J11)</f>
        <v>1</v>
      </c>
    </row>
    <row r="13" spans="1:10" ht="19.8" customHeight="1" x14ac:dyDescent="0.3">
      <c r="A13" s="41">
        <f xml:space="preserve"> A12+1</f>
        <v>12</v>
      </c>
      <c r="B13" s="58">
        <v>3</v>
      </c>
      <c r="C13" s="2">
        <f>B13*0.000382</f>
        <v>1.1460000000000001E-3</v>
      </c>
      <c r="D13" s="42">
        <v>41.22</v>
      </c>
      <c r="E13" s="52">
        <f t="shared" si="0"/>
        <v>2.7802037845705972E-5</v>
      </c>
      <c r="F13" s="43">
        <v>194.7</v>
      </c>
      <c r="G13" s="52">
        <f t="shared" si="1"/>
        <v>1.4644299401791421E-19</v>
      </c>
      <c r="I13" s="23">
        <f t="shared" si="2"/>
        <v>1.1999999999999999E-19</v>
      </c>
      <c r="J13" s="17">
        <f xml:space="preserve"> COUNTIF($G$2:$G$151,"&lt;="&amp;I13)-SUM(J2:J12)</f>
        <v>1</v>
      </c>
    </row>
    <row r="14" spans="1:10" ht="19.8" customHeight="1" x14ac:dyDescent="0.3">
      <c r="A14" s="41">
        <f xml:space="preserve"> A13+1</f>
        <v>13</v>
      </c>
      <c r="B14" s="58">
        <v>2</v>
      </c>
      <c r="C14" s="2">
        <f>B14*0.000382</f>
        <v>7.6400000000000003E-4</v>
      </c>
      <c r="D14" s="42">
        <v>28.91</v>
      </c>
      <c r="E14" s="52">
        <f t="shared" si="0"/>
        <v>2.6426841923209962E-5</v>
      </c>
      <c r="F14" s="43">
        <v>210.6</v>
      </c>
      <c r="G14" s="52">
        <f t="shared" si="1"/>
        <v>1.254668917569428E-19</v>
      </c>
      <c r="I14" s="23">
        <f t="shared" si="2"/>
        <v>1.2999999999999998E-19</v>
      </c>
      <c r="J14" s="17">
        <f xml:space="preserve"> COUNTIF($G$2:$G$151,"&lt;="&amp;I14)-SUM(J2:J13)</f>
        <v>2</v>
      </c>
    </row>
    <row r="15" spans="1:10" ht="19.8" customHeight="1" x14ac:dyDescent="0.3">
      <c r="A15" s="41">
        <f xml:space="preserve"> A14+1</f>
        <v>14</v>
      </c>
      <c r="B15" s="58">
        <v>2</v>
      </c>
      <c r="C15" s="2">
        <f>B15*0.000382</f>
        <v>7.6400000000000003E-4</v>
      </c>
      <c r="D15" s="42">
        <v>21.21</v>
      </c>
      <c r="E15" s="52">
        <f t="shared" si="0"/>
        <v>3.602074493163602E-5</v>
      </c>
      <c r="F15" s="43">
        <v>127.8</v>
      </c>
      <c r="G15" s="52">
        <f t="shared" si="1"/>
        <v>3.2901658242406406E-19</v>
      </c>
      <c r="I15" s="23">
        <f t="shared" si="2"/>
        <v>1.3999999999999998E-19</v>
      </c>
      <c r="J15" s="17">
        <f xml:space="preserve"> COUNTIF($G$2:$G$151,"&lt;="&amp;I15)-SUM(J2:J14)</f>
        <v>5</v>
      </c>
    </row>
    <row r="16" spans="1:10" ht="19.8" customHeight="1" x14ac:dyDescent="0.3">
      <c r="A16" s="41">
        <f xml:space="preserve"> A15+1</f>
        <v>15</v>
      </c>
      <c r="B16" s="58">
        <v>2</v>
      </c>
      <c r="C16" s="2">
        <f>B16*0.000382</f>
        <v>7.6400000000000003E-4</v>
      </c>
      <c r="D16" s="42">
        <v>20.13</v>
      </c>
      <c r="E16" s="52">
        <f t="shared" si="0"/>
        <v>3.795330352707402E-5</v>
      </c>
      <c r="F16" s="43">
        <v>285</v>
      </c>
      <c r="G16" s="52">
        <f t="shared" si="1"/>
        <v>1.5956921964712223E-19</v>
      </c>
      <c r="I16" s="23">
        <f t="shared" si="2"/>
        <v>1.4999999999999997E-19</v>
      </c>
      <c r="J16" s="17">
        <f xml:space="preserve"> COUNTIF($G$2:$G$151,"&lt;="&amp;I16)-SUM(J2:J15)</f>
        <v>9</v>
      </c>
    </row>
    <row r="17" spans="1:10" ht="19.8" customHeight="1" x14ac:dyDescent="0.3">
      <c r="A17" s="41">
        <f xml:space="preserve"> A16+1</f>
        <v>16</v>
      </c>
      <c r="B17" s="58">
        <v>1</v>
      </c>
      <c r="C17" s="2">
        <f>B17*0.000382</f>
        <v>3.8200000000000002E-4</v>
      </c>
      <c r="D17" s="42">
        <v>11.32</v>
      </c>
      <c r="E17" s="52">
        <f t="shared" si="0"/>
        <v>3.3745583038869255E-5</v>
      </c>
      <c r="F17" s="43">
        <v>250.1</v>
      </c>
      <c r="G17" s="52">
        <f t="shared" si="1"/>
        <v>1.5245136527025472E-19</v>
      </c>
      <c r="I17" s="23">
        <f t="shared" si="2"/>
        <v>1.5999999999999997E-19</v>
      </c>
      <c r="J17" s="17">
        <f xml:space="preserve"> COUNTIF($G$2:$G$151,"&lt;="&amp;I17)-SUM(J2:J16)</f>
        <v>14</v>
      </c>
    </row>
    <row r="18" spans="1:10" ht="19.8" customHeight="1" x14ac:dyDescent="0.3">
      <c r="A18" s="41">
        <f xml:space="preserve"> A17+1</f>
        <v>17</v>
      </c>
      <c r="B18" s="58">
        <v>2</v>
      </c>
      <c r="C18" s="2">
        <f>B18*0.000382</f>
        <v>7.6400000000000003E-4</v>
      </c>
      <c r="D18" s="42">
        <v>21.29</v>
      </c>
      <c r="E18" s="52">
        <f t="shared" si="0"/>
        <v>3.5885392202912169E-5</v>
      </c>
      <c r="F18" s="43">
        <v>241.6</v>
      </c>
      <c r="G18" s="52">
        <f t="shared" si="1"/>
        <v>1.7306100499884471E-19</v>
      </c>
      <c r="I18" s="23">
        <f t="shared" si="2"/>
        <v>1.6999999999999996E-19</v>
      </c>
      <c r="J18" s="17">
        <f xml:space="preserve"> COUNTIF($G$2:$G$151,"&lt;="&amp;I18)-SUM(J2:J17)</f>
        <v>9</v>
      </c>
    </row>
    <row r="19" spans="1:10" ht="19.8" customHeight="1" x14ac:dyDescent="0.3">
      <c r="A19" s="41">
        <f xml:space="preserve"> A18+1</f>
        <v>18</v>
      </c>
      <c r="B19" s="58">
        <v>1</v>
      </c>
      <c r="C19" s="2">
        <f>B19*0.000382</f>
        <v>3.8200000000000002E-4</v>
      </c>
      <c r="D19" s="42">
        <v>11.7</v>
      </c>
      <c r="E19" s="52">
        <f t="shared" si="0"/>
        <v>3.264957264957265E-5</v>
      </c>
      <c r="F19" s="43">
        <v>241.6</v>
      </c>
      <c r="G19" s="52">
        <f t="shared" si="1"/>
        <v>1.501892772851532E-19</v>
      </c>
      <c r="I19" s="23">
        <f t="shared" si="2"/>
        <v>1.7999999999999996E-19</v>
      </c>
      <c r="J19" s="17">
        <f xml:space="preserve"> COUNTIF($G$2:$G$151,"&lt;="&amp;I19)-SUM(J2:J18)</f>
        <v>5</v>
      </c>
    </row>
    <row r="20" spans="1:10" ht="19.8" customHeight="1" x14ac:dyDescent="0.3">
      <c r="A20" s="41">
        <f xml:space="preserve"> A19+1</f>
        <v>19</v>
      </c>
      <c r="B20" s="58">
        <v>1</v>
      </c>
      <c r="C20" s="2">
        <f>B20*0.000382</f>
        <v>3.8200000000000002E-4</v>
      </c>
      <c r="D20" s="42">
        <v>18.78</v>
      </c>
      <c r="E20" s="52">
        <f t="shared" si="0"/>
        <v>2.0340788072417465E-5</v>
      </c>
      <c r="F20" s="43">
        <v>125.1</v>
      </c>
      <c r="G20" s="52">
        <f t="shared" si="1"/>
        <v>1.4263101029322949E-19</v>
      </c>
      <c r="I20" s="23">
        <f t="shared" si="2"/>
        <v>1.8999999999999995E-19</v>
      </c>
      <c r="J20" s="17">
        <f xml:space="preserve"> COUNTIF($G$2:$G$151,"&lt;="&amp;I20)-SUM(J2:J19)</f>
        <v>6</v>
      </c>
    </row>
    <row r="21" spans="1:10" ht="19.8" customHeight="1" x14ac:dyDescent="0.3">
      <c r="A21" s="41">
        <f xml:space="preserve"> A20+1</f>
        <v>20</v>
      </c>
      <c r="B21" s="58">
        <v>2</v>
      </c>
      <c r="C21" s="2">
        <f>B21*0.000382</f>
        <v>7.6400000000000003E-4</v>
      </c>
      <c r="D21" s="42">
        <v>30.8</v>
      </c>
      <c r="E21" s="52">
        <f t="shared" si="0"/>
        <v>2.4805194805194806E-5</v>
      </c>
      <c r="F21" s="43">
        <v>125.1</v>
      </c>
      <c r="G21" s="52">
        <f t="shared" si="1"/>
        <v>1.9207739588404894E-19</v>
      </c>
      <c r="I21" s="23">
        <f t="shared" si="2"/>
        <v>1.9999999999999995E-19</v>
      </c>
      <c r="J21" s="17">
        <f xml:space="preserve"> COUNTIF($G$2:$G$151,"&lt;="&amp;I21)-SUM(J2:J20)</f>
        <v>3</v>
      </c>
    </row>
    <row r="22" spans="1:10" ht="19.8" customHeight="1" x14ac:dyDescent="0.3">
      <c r="A22" s="41">
        <f xml:space="preserve"> A21+1</f>
        <v>21</v>
      </c>
      <c r="B22" s="58">
        <v>1</v>
      </c>
      <c r="C22" s="2">
        <f>B22*0.000382</f>
        <v>3.8200000000000002E-4</v>
      </c>
      <c r="D22" s="42">
        <v>20.100000000000001</v>
      </c>
      <c r="E22" s="52">
        <f t="shared" si="0"/>
        <v>1.9004975124378108E-5</v>
      </c>
      <c r="F22" s="43">
        <v>125.1</v>
      </c>
      <c r="G22" s="52">
        <f t="shared" si="1"/>
        <v>1.2881405570980911E-19</v>
      </c>
      <c r="I22" s="23">
        <f t="shared" si="2"/>
        <v>2.0999999999999994E-19</v>
      </c>
      <c r="J22" s="17">
        <f xml:space="preserve"> COUNTIF($G$2:$G$151,"&lt;="&amp;I22)-SUM(J2:J21)</f>
        <v>4</v>
      </c>
    </row>
    <row r="23" spans="1:10" ht="19.8" customHeight="1" x14ac:dyDescent="0.3">
      <c r="A23" s="41">
        <f xml:space="preserve"> A22+1</f>
        <v>22</v>
      </c>
      <c r="B23" s="58">
        <v>2</v>
      </c>
      <c r="C23" s="2">
        <f>B23*0.000382</f>
        <v>7.6400000000000003E-4</v>
      </c>
      <c r="D23" s="42">
        <v>13.17</v>
      </c>
      <c r="E23" s="52">
        <f t="shared" si="0"/>
        <v>5.8010630220197421E-5</v>
      </c>
      <c r="F23" s="43">
        <v>284.3</v>
      </c>
      <c r="G23" s="52">
        <f t="shared" si="1"/>
        <v>3.0227631654900422E-19</v>
      </c>
      <c r="I23" s="23">
        <f t="shared" si="2"/>
        <v>2.1999999999999994E-19</v>
      </c>
      <c r="J23" s="17">
        <f xml:space="preserve"> COUNTIF($G$2:$G$151,"&lt;="&amp;I23)-SUM(J2:J22)</f>
        <v>2</v>
      </c>
    </row>
    <row r="24" spans="1:10" ht="19.8" customHeight="1" x14ac:dyDescent="0.3">
      <c r="A24" s="41">
        <f xml:space="preserve"> A23+1</f>
        <v>23</v>
      </c>
      <c r="B24" s="58">
        <v>3</v>
      </c>
      <c r="C24" s="2">
        <f>B24*0.000382</f>
        <v>1.1460000000000001E-3</v>
      </c>
      <c r="D24" s="42">
        <v>25.18</v>
      </c>
      <c r="E24" s="52">
        <f t="shared" si="0"/>
        <v>4.5512311358220816E-5</v>
      </c>
      <c r="F24" s="43">
        <v>351</v>
      </c>
      <c r="G24" s="52">
        <f t="shared" si="1"/>
        <v>1.7013976436181344E-19</v>
      </c>
      <c r="I24" s="23">
        <f t="shared" si="2"/>
        <v>2.2999999999999993E-19</v>
      </c>
      <c r="J24" s="17">
        <f xml:space="preserve"> COUNTIF($G$2:$G$151,"&lt;="&amp;I24)-SUM(J2:J23)</f>
        <v>1</v>
      </c>
    </row>
    <row r="25" spans="1:10" ht="19.8" customHeight="1" x14ac:dyDescent="0.3">
      <c r="A25" s="41">
        <f xml:space="preserve"> A24+1</f>
        <v>24</v>
      </c>
      <c r="B25" s="58">
        <v>3</v>
      </c>
      <c r="C25" s="2">
        <f>B25*0.000382</f>
        <v>1.1460000000000001E-3</v>
      </c>
      <c r="D25" s="42">
        <v>20.52</v>
      </c>
      <c r="E25" s="52">
        <f t="shared" si="0"/>
        <v>5.5847953216374278E-5</v>
      </c>
      <c r="F25" s="43">
        <v>261.3</v>
      </c>
      <c r="G25" s="52">
        <f t="shared" si="1"/>
        <v>3.106641129886583E-19</v>
      </c>
      <c r="I25" s="23">
        <f t="shared" si="2"/>
        <v>2.3999999999999993E-19</v>
      </c>
      <c r="J25" s="17">
        <f xml:space="preserve"> COUNTIF($G$2:$G$151,"&lt;="&amp;I25)-SUM(J2:J24)</f>
        <v>2</v>
      </c>
    </row>
    <row r="26" spans="1:10" ht="19.8" customHeight="1" thickBot="1" x14ac:dyDescent="0.35">
      <c r="A26" s="5">
        <f xml:space="preserve"> A25+1</f>
        <v>25</v>
      </c>
      <c r="B26" s="59">
        <v>1</v>
      </c>
      <c r="C26" s="6">
        <f>B26*0.000382</f>
        <v>3.8200000000000002E-4</v>
      </c>
      <c r="D26" s="39">
        <v>11.98</v>
      </c>
      <c r="E26" s="56">
        <f t="shared" si="0"/>
        <v>3.1886477462437398E-5</v>
      </c>
      <c r="F26" s="44">
        <v>205.6</v>
      </c>
      <c r="G26" s="53">
        <f t="shared" si="1"/>
        <v>1.703359482802157E-19</v>
      </c>
      <c r="I26" s="23">
        <f t="shared" si="2"/>
        <v>2.4999999999999992E-19</v>
      </c>
      <c r="J26" s="17">
        <f xml:space="preserve"> COUNTIF($G$2:$G$151,"&lt;="&amp;I26)-SUM(J2:J25)</f>
        <v>0</v>
      </c>
    </row>
    <row r="27" spans="1:10" ht="19.8" customHeight="1" thickTop="1" x14ac:dyDescent="0.3">
      <c r="A27" s="7">
        <f xml:space="preserve"> A26+1</f>
        <v>26</v>
      </c>
      <c r="B27" s="60">
        <v>1</v>
      </c>
      <c r="C27" s="8">
        <f>B27*0.000382</f>
        <v>3.8200000000000002E-4</v>
      </c>
      <c r="D27" s="40">
        <v>8.7200000000000006</v>
      </c>
      <c r="E27" s="10">
        <f t="shared" si="0"/>
        <v>4.380733944954128E-5</v>
      </c>
      <c r="F27" s="45">
        <v>350.9</v>
      </c>
      <c r="G27" s="54">
        <f t="shared" si="1"/>
        <v>1.6071505247025555E-19</v>
      </c>
      <c r="I27" s="23">
        <f t="shared" si="2"/>
        <v>2.5999999999999992E-19</v>
      </c>
      <c r="J27" s="17">
        <f xml:space="preserve"> COUNTIF($G$2:$G$151,"&lt;="&amp;I27)-SUM(J2:J26)</f>
        <v>1</v>
      </c>
    </row>
    <row r="28" spans="1:10" ht="19.8" customHeight="1" x14ac:dyDescent="0.3">
      <c r="A28" s="41">
        <f xml:space="preserve"> A27+1</f>
        <v>27</v>
      </c>
      <c r="B28" s="58">
        <v>2</v>
      </c>
      <c r="C28" s="2">
        <f>B28*0.000382</f>
        <v>7.6400000000000003E-4</v>
      </c>
      <c r="D28" s="42">
        <v>10.95</v>
      </c>
      <c r="E28" s="52">
        <f t="shared" si="0"/>
        <v>6.9771689497716903E-5</v>
      </c>
      <c r="F28" s="43">
        <v>355.9</v>
      </c>
      <c r="G28" s="52">
        <f t="shared" si="1"/>
        <v>3.1850076277215292E-19</v>
      </c>
      <c r="I28" s="23">
        <f t="shared" si="2"/>
        <v>2.6999999999999991E-19</v>
      </c>
      <c r="J28" s="17">
        <f xml:space="preserve"> COUNTIF($G$2:$G$151,"&lt;="&amp;I28)-SUM(J2:J27)</f>
        <v>2</v>
      </c>
    </row>
    <row r="29" spans="1:10" ht="19.8" customHeight="1" x14ac:dyDescent="0.3">
      <c r="A29" s="41">
        <f xml:space="preserve"> A28+1</f>
        <v>28</v>
      </c>
      <c r="B29" s="58">
        <v>1</v>
      </c>
      <c r="C29" s="2">
        <f>B29*0.000382</f>
        <v>3.8200000000000002E-4</v>
      </c>
      <c r="D29" s="42">
        <v>14.91</v>
      </c>
      <c r="E29" s="52">
        <f t="shared" si="0"/>
        <v>2.562038900067069E-5</v>
      </c>
      <c r="F29" s="43">
        <v>157.5</v>
      </c>
      <c r="G29" s="52">
        <f t="shared" si="1"/>
        <v>1.6014656457632626E-19</v>
      </c>
      <c r="I29" s="23">
        <f t="shared" si="2"/>
        <v>2.7999999999999991E-19</v>
      </c>
      <c r="J29" s="17">
        <f xml:space="preserve"> COUNTIF($G$2:$G$151,"&lt;="&amp;I29)-SUM(J2:J28)</f>
        <v>2</v>
      </c>
    </row>
    <row r="30" spans="1:10" ht="19.8" customHeight="1" x14ac:dyDescent="0.3">
      <c r="A30" s="41">
        <f xml:space="preserve"> A29+1</f>
        <v>29</v>
      </c>
      <c r="B30" s="58">
        <v>3</v>
      </c>
      <c r="C30" s="2">
        <f>B30*0.000382</f>
        <v>1.1460000000000001E-3</v>
      </c>
      <c r="D30" s="42">
        <v>17.5</v>
      </c>
      <c r="E30" s="52">
        <f t="shared" si="0"/>
        <v>6.548571428571429E-5</v>
      </c>
      <c r="F30" s="43">
        <v>302.5</v>
      </c>
      <c r="G30" s="52">
        <f t="shared" si="1"/>
        <v>3.4073290824810317E-19</v>
      </c>
      <c r="I30" s="23">
        <f t="shared" si="2"/>
        <v>2.899999999999999E-19</v>
      </c>
      <c r="J30" s="17">
        <f xml:space="preserve"> COUNTIF($G$2:$G$151,"&lt;="&amp;I30)-SUM(J2:J29)</f>
        <v>2</v>
      </c>
    </row>
    <row r="31" spans="1:10" ht="19.8" customHeight="1" x14ac:dyDescent="0.3">
      <c r="A31" s="41">
        <f xml:space="preserve"> A30+1</f>
        <v>30</v>
      </c>
      <c r="B31" s="58">
        <v>2</v>
      </c>
      <c r="C31" s="2">
        <f>B31*0.000382</f>
        <v>7.6400000000000003E-4</v>
      </c>
      <c r="D31" s="42">
        <v>12.38</v>
      </c>
      <c r="E31" s="52">
        <f t="shared" si="0"/>
        <v>6.1712439418416795E-5</v>
      </c>
      <c r="F31" s="43">
        <v>287.10000000000002</v>
      </c>
      <c r="G31" s="52">
        <f t="shared" si="1"/>
        <v>3.2843201439247004E-19</v>
      </c>
      <c r="I31" s="23">
        <f t="shared" si="2"/>
        <v>2.999999999999999E-19</v>
      </c>
      <c r="J31" s="17">
        <f xml:space="preserve"> COUNTIF($G$2:$G$151,"&lt;="&amp;I31)-SUM(J2:J30)</f>
        <v>2</v>
      </c>
    </row>
    <row r="32" spans="1:10" ht="19.8" customHeight="1" x14ac:dyDescent="0.3">
      <c r="A32" s="41">
        <f xml:space="preserve"> A31+1</f>
        <v>31</v>
      </c>
      <c r="B32" s="58">
        <v>1</v>
      </c>
      <c r="C32" s="2">
        <f>B32*0.000382</f>
        <v>3.8200000000000002E-4</v>
      </c>
      <c r="D32" s="42">
        <v>10.039999999999999</v>
      </c>
      <c r="E32" s="52">
        <f t="shared" si="0"/>
        <v>3.8047808764940242E-5</v>
      </c>
      <c r="F32" s="43">
        <v>300.10000000000002</v>
      </c>
      <c r="G32" s="52">
        <f t="shared" si="1"/>
        <v>1.5210660932381775E-19</v>
      </c>
      <c r="I32" s="23">
        <f t="shared" si="2"/>
        <v>3.0999999999999989E-19</v>
      </c>
      <c r="J32" s="17">
        <f xml:space="preserve"> COUNTIF($G$2:$G$151,"&lt;="&amp;I32)-SUM(J2:J31)</f>
        <v>10</v>
      </c>
    </row>
    <row r="33" spans="1:10" ht="19.8" customHeight="1" x14ac:dyDescent="0.3">
      <c r="A33" s="41">
        <f xml:space="preserve"> A32+1</f>
        <v>32</v>
      </c>
      <c r="B33" s="58">
        <v>2</v>
      </c>
      <c r="C33" s="2">
        <f>B33*0.000382</f>
        <v>7.6400000000000003E-4</v>
      </c>
      <c r="D33" s="42">
        <v>27.94</v>
      </c>
      <c r="E33" s="52">
        <f t="shared" si="0"/>
        <v>2.7344309234073015E-5</v>
      </c>
      <c r="F33" s="43">
        <v>182.5</v>
      </c>
      <c r="G33" s="52">
        <f t="shared" si="1"/>
        <v>1.5239024668010122E-19</v>
      </c>
      <c r="I33" s="23">
        <f t="shared" si="2"/>
        <v>3.1999999999999989E-19</v>
      </c>
      <c r="J33" s="17">
        <f xml:space="preserve"> COUNTIF($G$2:$G$151,"&lt;="&amp;I33)-SUM(J2:J32)</f>
        <v>11</v>
      </c>
    </row>
    <row r="34" spans="1:10" ht="19.8" customHeight="1" x14ac:dyDescent="0.3">
      <c r="A34" s="41">
        <f xml:space="preserve"> A33+1</f>
        <v>33</v>
      </c>
      <c r="B34" s="58">
        <v>1</v>
      </c>
      <c r="C34" s="2">
        <f>B34*0.000382</f>
        <v>3.8200000000000002E-4</v>
      </c>
      <c r="D34" s="42">
        <v>21.35</v>
      </c>
      <c r="E34" s="52">
        <f t="shared" si="0"/>
        <v>1.7892271662763466E-5</v>
      </c>
      <c r="F34" s="43">
        <v>96.3</v>
      </c>
      <c r="G34" s="52">
        <f t="shared" si="1"/>
        <v>1.5285918645641975E-19</v>
      </c>
      <c r="I34" s="23">
        <f t="shared" si="2"/>
        <v>3.2999999999999988E-19</v>
      </c>
      <c r="J34" s="17">
        <f xml:space="preserve"> COUNTIF($G$2:$G$151,"&lt;="&amp;I34)-SUM(J2:J33)</f>
        <v>9</v>
      </c>
    </row>
    <row r="35" spans="1:10" ht="19.8" customHeight="1" x14ac:dyDescent="0.3">
      <c r="A35" s="41">
        <f xml:space="preserve"> A34+1</f>
        <v>34</v>
      </c>
      <c r="B35" s="58">
        <v>2</v>
      </c>
      <c r="C35" s="2">
        <f>B35*0.000382</f>
        <v>7.6400000000000003E-4</v>
      </c>
      <c r="D35" s="42">
        <v>15.18</v>
      </c>
      <c r="E35" s="52">
        <f t="shared" si="0"/>
        <v>5.0329380764163375E-5</v>
      </c>
      <c r="F35" s="43">
        <v>221.6</v>
      </c>
      <c r="G35" s="52">
        <f t="shared" si="1"/>
        <v>3.1338790426645739E-19</v>
      </c>
      <c r="I35" s="23">
        <f t="shared" si="2"/>
        <v>3.3999999999999988E-19</v>
      </c>
      <c r="J35" s="17">
        <f xml:space="preserve"> COUNTIF($G$2:$G$151,"&lt;="&amp;I35)-SUM(J2:J34)</f>
        <v>3</v>
      </c>
    </row>
    <row r="36" spans="1:10" ht="19.8" customHeight="1" x14ac:dyDescent="0.3">
      <c r="A36" s="41">
        <f xml:space="preserve"> A35+1</f>
        <v>35</v>
      </c>
      <c r="B36" s="58">
        <v>1</v>
      </c>
      <c r="C36" s="2">
        <f>B36*0.000382</f>
        <v>3.8200000000000002E-4</v>
      </c>
      <c r="D36" s="42">
        <v>7.25</v>
      </c>
      <c r="E36" s="52">
        <f t="shared" si="0"/>
        <v>5.2689655172413795E-5</v>
      </c>
      <c r="F36" s="43">
        <v>245</v>
      </c>
      <c r="G36" s="52">
        <f t="shared" si="1"/>
        <v>3.0362781607464198E-19</v>
      </c>
      <c r="I36" s="23">
        <f t="shared" si="2"/>
        <v>3.4999999999999987E-19</v>
      </c>
      <c r="J36" s="17">
        <f xml:space="preserve"> COUNTIF($G$2:$G$151,"&lt;="&amp;I36)-SUM(J2:J35)</f>
        <v>1</v>
      </c>
    </row>
    <row r="37" spans="1:10" ht="19.8" customHeight="1" x14ac:dyDescent="0.3">
      <c r="A37" s="41">
        <f xml:space="preserve"> A36+1</f>
        <v>36</v>
      </c>
      <c r="B37" s="58">
        <v>1</v>
      </c>
      <c r="C37" s="2">
        <f>B37*0.000382</f>
        <v>3.8200000000000002E-4</v>
      </c>
      <c r="D37" s="42">
        <v>13.52</v>
      </c>
      <c r="E37" s="52">
        <f t="shared" si="0"/>
        <v>2.8254437869822487E-5</v>
      </c>
      <c r="F37" s="43">
        <v>183.1</v>
      </c>
      <c r="G37" s="52">
        <f t="shared" si="1"/>
        <v>1.5953694386231612E-19</v>
      </c>
      <c r="I37" s="23">
        <f t="shared" si="2"/>
        <v>3.5999999999999987E-19</v>
      </c>
      <c r="J37" s="17">
        <f xml:space="preserve"> COUNTIF($G$2:$G$151,"&lt;="&amp;I37)-SUM(J2:J36)</f>
        <v>3</v>
      </c>
    </row>
    <row r="38" spans="1:10" ht="19.8" customHeight="1" x14ac:dyDescent="0.3">
      <c r="A38" s="41">
        <f xml:space="preserve"> A37+1</f>
        <v>37</v>
      </c>
      <c r="B38" s="58">
        <v>2</v>
      </c>
      <c r="C38" s="2">
        <f>B38*0.000382</f>
        <v>7.6400000000000003E-4</v>
      </c>
      <c r="D38" s="42">
        <v>21.47</v>
      </c>
      <c r="E38" s="52">
        <f t="shared" si="0"/>
        <v>3.5584536562645555E-5</v>
      </c>
      <c r="F38" s="43">
        <v>264.89999999999998</v>
      </c>
      <c r="G38" s="52">
        <f t="shared" si="1"/>
        <v>1.5585818646704582E-19</v>
      </c>
      <c r="I38" s="23">
        <f t="shared" si="2"/>
        <v>3.6999999999999986E-19</v>
      </c>
      <c r="J38" s="17">
        <f xml:space="preserve"> COUNTIF($G$2:$G$151,"&lt;="&amp;I38)-SUM(J2:J37)</f>
        <v>1</v>
      </c>
    </row>
    <row r="39" spans="1:10" ht="19.8" customHeight="1" x14ac:dyDescent="0.3">
      <c r="A39" s="41">
        <f xml:space="preserve"> A38+1</f>
        <v>38</v>
      </c>
      <c r="B39" s="58">
        <v>1</v>
      </c>
      <c r="C39" s="2">
        <f>B39*0.000382</f>
        <v>3.8200000000000002E-4</v>
      </c>
      <c r="D39" s="42">
        <v>16.329999999999998</v>
      </c>
      <c r="E39" s="52">
        <f t="shared" si="0"/>
        <v>2.3392529087568895E-5</v>
      </c>
      <c r="F39" s="43">
        <v>121.4</v>
      </c>
      <c r="G39" s="52">
        <f t="shared" si="1"/>
        <v>1.8126613978670802E-19</v>
      </c>
      <c r="I39" s="23">
        <f t="shared" si="2"/>
        <v>3.7999999999999986E-19</v>
      </c>
      <c r="J39" s="17">
        <f xml:space="preserve"> COUNTIF($G$2:$G$151,"&lt;="&amp;I39)-SUM(J2:J38)</f>
        <v>1</v>
      </c>
    </row>
    <row r="40" spans="1:10" ht="19.8" customHeight="1" x14ac:dyDescent="0.3">
      <c r="A40" s="41">
        <f xml:space="preserve"> A39+1</f>
        <v>39</v>
      </c>
      <c r="B40" s="58">
        <v>1</v>
      </c>
      <c r="C40" s="2">
        <f>B40*0.000382</f>
        <v>3.8200000000000002E-4</v>
      </c>
      <c r="D40" s="42">
        <v>13.47</v>
      </c>
      <c r="E40" s="52">
        <f t="shared" si="0"/>
        <v>2.8359317000742392E-5</v>
      </c>
      <c r="F40" s="43">
        <v>90.5</v>
      </c>
      <c r="G40" s="52">
        <f t="shared" si="1"/>
        <v>3.2457470962973882E-19</v>
      </c>
      <c r="I40" s="23">
        <f t="shared" si="2"/>
        <v>3.8999999999999985E-19</v>
      </c>
      <c r="J40" s="17">
        <f xml:space="preserve"> COUNTIF($G$2:$G$151,"&lt;="&amp;I40)-SUM(J2:J39)</f>
        <v>1</v>
      </c>
    </row>
    <row r="41" spans="1:10" ht="19.8" customHeight="1" x14ac:dyDescent="0.3">
      <c r="A41" s="41">
        <f xml:space="preserve"> A40+1</f>
        <v>40</v>
      </c>
      <c r="B41" s="58">
        <v>1</v>
      </c>
      <c r="C41" s="2">
        <f>B41*0.000382</f>
        <v>3.8200000000000002E-4</v>
      </c>
      <c r="D41" s="42">
        <v>15.34</v>
      </c>
      <c r="E41" s="52">
        <f t="shared" si="0"/>
        <v>2.4902216427640159E-5</v>
      </c>
      <c r="F41" s="43">
        <v>153.80000000000001</v>
      </c>
      <c r="G41" s="52">
        <f t="shared" si="1"/>
        <v>1.5715213124261203E-19</v>
      </c>
      <c r="I41" s="23">
        <f t="shared" si="2"/>
        <v>3.9999999999999985E-19</v>
      </c>
      <c r="J41" s="17">
        <f xml:space="preserve"> COUNTIF($G$2:$G$151,"&lt;="&amp;I41)-SUM(J2:J40)</f>
        <v>0</v>
      </c>
    </row>
    <row r="42" spans="1:10" ht="19.8" customHeight="1" x14ac:dyDescent="0.3">
      <c r="A42" s="41">
        <f xml:space="preserve"> A41+1</f>
        <v>41</v>
      </c>
      <c r="B42" s="58">
        <v>2</v>
      </c>
      <c r="C42" s="2">
        <f>B42*0.000382</f>
        <v>7.6400000000000003E-4</v>
      </c>
      <c r="D42" s="42">
        <v>28.97</v>
      </c>
      <c r="E42" s="52">
        <f t="shared" si="0"/>
        <v>2.6372109078356923E-5</v>
      </c>
      <c r="F42" s="43">
        <v>88.5</v>
      </c>
      <c r="G42" s="52">
        <f t="shared" si="1"/>
        <v>2.9764159969829277E-19</v>
      </c>
      <c r="I42" s="23">
        <f t="shared" si="2"/>
        <v>4.0999999999999984E-19</v>
      </c>
      <c r="J42" s="17">
        <f xml:space="preserve"> COUNTIF($G$2:$G$151,"&lt;="&amp;I42)-SUM(J2:J41)</f>
        <v>0</v>
      </c>
    </row>
    <row r="43" spans="1:10" ht="19.8" customHeight="1" x14ac:dyDescent="0.3">
      <c r="A43" s="41">
        <f xml:space="preserve"> A42+1</f>
        <v>42</v>
      </c>
      <c r="B43" s="58">
        <v>1</v>
      </c>
      <c r="C43" s="2">
        <f>B43*0.000382</f>
        <v>3.8200000000000002E-4</v>
      </c>
      <c r="D43" s="42">
        <v>19.059999999999999</v>
      </c>
      <c r="E43" s="52">
        <f t="shared" si="0"/>
        <v>2.0041972717733475E-5</v>
      </c>
      <c r="F43" s="43">
        <v>89.7</v>
      </c>
      <c r="G43" s="52">
        <f t="shared" si="1"/>
        <v>1.9455296888171618E-19</v>
      </c>
      <c r="I43" s="23">
        <f t="shared" si="2"/>
        <v>4.1999999999999984E-19</v>
      </c>
      <c r="J43" s="17">
        <f xml:space="preserve"> COUNTIF($G$2:$G$151,"&lt;="&amp;I43)-SUM(J2:J42)</f>
        <v>1</v>
      </c>
    </row>
    <row r="44" spans="1:10" ht="19.8" customHeight="1" x14ac:dyDescent="0.3">
      <c r="A44" s="41">
        <f xml:space="preserve"> A43+1</f>
        <v>43</v>
      </c>
      <c r="B44" s="58">
        <v>1</v>
      </c>
      <c r="C44" s="2">
        <f>B44*0.000382</f>
        <v>3.8200000000000002E-4</v>
      </c>
      <c r="D44" s="42">
        <v>10.88</v>
      </c>
      <c r="E44" s="52">
        <f t="shared" si="0"/>
        <v>3.5110294117647061E-5</v>
      </c>
      <c r="F44" s="43">
        <v>120.2</v>
      </c>
      <c r="G44" s="52">
        <f t="shared" si="1"/>
        <v>3.3664086907642317E-19</v>
      </c>
      <c r="I44" s="23">
        <f t="shared" si="2"/>
        <v>4.2999999999999983E-19</v>
      </c>
      <c r="J44" s="17">
        <f xml:space="preserve"> COUNTIF($G$2:$G$151,"&lt;="&amp;I44)-SUM(J2:J43)</f>
        <v>0</v>
      </c>
    </row>
    <row r="45" spans="1:10" ht="19.8" customHeight="1" x14ac:dyDescent="0.3">
      <c r="A45" s="41">
        <f xml:space="preserve"> A44+1</f>
        <v>44</v>
      </c>
      <c r="B45" s="58">
        <v>2</v>
      </c>
      <c r="C45" s="2">
        <f>B45*0.000382</f>
        <v>7.6400000000000003E-4</v>
      </c>
      <c r="D45" s="42">
        <v>20.7</v>
      </c>
      <c r="E45" s="52">
        <f t="shared" si="0"/>
        <v>3.6908212560386474E-5</v>
      </c>
      <c r="F45" s="43">
        <v>141.30000000000001</v>
      </c>
      <c r="G45" s="52">
        <f t="shared" si="1"/>
        <v>3.0864693137711067E-19</v>
      </c>
      <c r="I45" s="23">
        <f t="shared" si="2"/>
        <v>4.3999999999999987E-19</v>
      </c>
      <c r="J45" s="17">
        <f xml:space="preserve"> COUNTIF($G$2:$G$151,"&lt;="&amp;I45)-SUM(J2:J44)</f>
        <v>0</v>
      </c>
    </row>
    <row r="46" spans="1:10" ht="19.8" customHeight="1" x14ac:dyDescent="0.3">
      <c r="A46" s="41">
        <f xml:space="preserve"> A45+1</f>
        <v>45</v>
      </c>
      <c r="B46" s="58">
        <v>1</v>
      </c>
      <c r="C46" s="2">
        <f>B46*0.000382</f>
        <v>3.8200000000000002E-4</v>
      </c>
      <c r="D46" s="42">
        <v>9.86</v>
      </c>
      <c r="E46" s="52">
        <f t="shared" si="0"/>
        <v>3.8742393509127792E-5</v>
      </c>
      <c r="F46" s="43">
        <v>150.30000000000001</v>
      </c>
      <c r="G46" s="52">
        <f t="shared" si="1"/>
        <v>3.1206157568060424E-19</v>
      </c>
      <c r="I46" s="23">
        <f t="shared" si="2"/>
        <v>4.4999999999999992E-19</v>
      </c>
      <c r="J46" s="17">
        <f xml:space="preserve"> COUNTIF($G$2:$G$151,"&lt;="&amp;I46)-SUM(J2:J45)</f>
        <v>0</v>
      </c>
    </row>
    <row r="47" spans="1:10" ht="19.8" customHeight="1" x14ac:dyDescent="0.3">
      <c r="A47" s="41">
        <f xml:space="preserve"> A46+1</f>
        <v>46</v>
      </c>
      <c r="B47" s="58">
        <v>1</v>
      </c>
      <c r="C47" s="2">
        <f>B47*0.000382</f>
        <v>3.8200000000000002E-4</v>
      </c>
      <c r="D47" s="42">
        <v>17.27</v>
      </c>
      <c r="E47" s="52">
        <f t="shared" si="0"/>
        <v>2.2119281991893459E-5</v>
      </c>
      <c r="F47" s="43">
        <v>110.2</v>
      </c>
      <c r="G47" s="52">
        <f t="shared" si="1"/>
        <v>1.8360924684756792E-19</v>
      </c>
      <c r="I47" s="23">
        <f t="shared" si="2"/>
        <v>4.5999999999999996E-19</v>
      </c>
      <c r="J47" s="17">
        <f xml:space="preserve"> COUNTIF($G$2:$G$151,"&lt;="&amp;I47)-SUM(J2:J46)</f>
        <v>0</v>
      </c>
    </row>
    <row r="48" spans="1:10" ht="19.8" customHeight="1" x14ac:dyDescent="0.3">
      <c r="A48" s="41">
        <f xml:space="preserve"> A47+1</f>
        <v>47</v>
      </c>
      <c r="B48" s="58">
        <v>1</v>
      </c>
      <c r="C48" s="2">
        <f>B48*0.000382</f>
        <v>3.8200000000000002E-4</v>
      </c>
      <c r="D48" s="42">
        <v>22.8</v>
      </c>
      <c r="E48" s="52">
        <f t="shared" si="0"/>
        <v>1.6754385964912282E-5</v>
      </c>
      <c r="F48" s="43">
        <v>95.3</v>
      </c>
      <c r="G48" s="52">
        <f t="shared" si="1"/>
        <v>1.3996500979944261E-19</v>
      </c>
      <c r="I48" s="23">
        <f t="shared" si="2"/>
        <v>4.7E-19</v>
      </c>
      <c r="J48" s="17">
        <f xml:space="preserve"> COUNTIF($G$2:$G$151,"&lt;="&amp;I48)-SUM(J2:J47)</f>
        <v>2</v>
      </c>
    </row>
    <row r="49" spans="1:10" ht="19.8" customHeight="1" x14ac:dyDescent="0.3">
      <c r="A49" s="41">
        <f xml:space="preserve"> A48+1</f>
        <v>48</v>
      </c>
      <c r="B49" s="58">
        <v>1</v>
      </c>
      <c r="C49" s="2">
        <f>B49*0.000382</f>
        <v>3.8200000000000002E-4</v>
      </c>
      <c r="D49" s="42">
        <v>17.52</v>
      </c>
      <c r="E49" s="52">
        <f t="shared" si="0"/>
        <v>2.1803652968036531E-5</v>
      </c>
      <c r="F49" s="43">
        <v>143.4</v>
      </c>
      <c r="G49" s="52">
        <f t="shared" si="1"/>
        <v>1.3809067292017733E-19</v>
      </c>
      <c r="I49" s="23">
        <f t="shared" si="2"/>
        <v>4.8000000000000005E-19</v>
      </c>
      <c r="J49" s="17">
        <f xml:space="preserve"> COUNTIF($G$2:$G$151,"&lt;="&amp;I49)-SUM(J2:J48)</f>
        <v>4</v>
      </c>
    </row>
    <row r="50" spans="1:10" ht="19.8" customHeight="1" x14ac:dyDescent="0.3">
      <c r="A50" s="41">
        <f xml:space="preserve"> A49+1</f>
        <v>49</v>
      </c>
      <c r="B50" s="58">
        <v>2</v>
      </c>
      <c r="C50" s="2">
        <f>B50*0.000382</f>
        <v>7.6400000000000003E-4</v>
      </c>
      <c r="D50" s="42">
        <v>16.850000000000001</v>
      </c>
      <c r="E50" s="52">
        <f t="shared" si="0"/>
        <v>4.5341246290801188E-5</v>
      </c>
      <c r="F50" s="43">
        <v>351.1</v>
      </c>
      <c r="G50" s="52">
        <f t="shared" si="1"/>
        <v>1.6913323522575657E-19</v>
      </c>
      <c r="I50" s="23">
        <f t="shared" si="2"/>
        <v>4.9000000000000009E-19</v>
      </c>
      <c r="J50" s="17">
        <f xml:space="preserve"> COUNTIF($G$2:$G$151,"&lt;="&amp;I50)-SUM(J2:J49)</f>
        <v>2</v>
      </c>
    </row>
    <row r="51" spans="1:10" ht="19.8" customHeight="1" thickBot="1" x14ac:dyDescent="0.35">
      <c r="A51" s="46">
        <f xml:space="preserve"> A50+1</f>
        <v>50</v>
      </c>
      <c r="B51" s="59">
        <v>3</v>
      </c>
      <c r="C51" s="6">
        <f>B51*0.000382</f>
        <v>1.1460000000000001E-3</v>
      </c>
      <c r="D51" s="39">
        <v>18.46</v>
      </c>
      <c r="E51" s="56">
        <f t="shared" si="0"/>
        <v>6.2080173347778991E-5</v>
      </c>
      <c r="F51" s="44">
        <v>294</v>
      </c>
      <c r="G51" s="53">
        <f t="shared" si="1"/>
        <v>3.2359489131387781E-19</v>
      </c>
      <c r="I51" s="23">
        <f xml:space="preserve"> I50 + 0.1*10^-19</f>
        <v>5.0000000000000013E-19</v>
      </c>
      <c r="J51" s="17">
        <f xml:space="preserve"> COUNTIF($G$2:$G$151,"&lt;="&amp;I51)-SUM(J2:J50)</f>
        <v>0</v>
      </c>
    </row>
    <row r="52" spans="1:10" ht="19.8" customHeight="1" thickTop="1" x14ac:dyDescent="0.3">
      <c r="A52" s="12">
        <f t="shared" ref="A52:A115" si="3" xml:space="preserve"> A51+1</f>
        <v>51</v>
      </c>
      <c r="B52" s="61">
        <v>3</v>
      </c>
      <c r="C52" s="13">
        <f>B52*0.000382</f>
        <v>1.1460000000000001E-3</v>
      </c>
      <c r="D52" s="40">
        <v>16.63</v>
      </c>
      <c r="E52" s="10">
        <f t="shared" si="0"/>
        <v>6.8911605532170783E-5</v>
      </c>
      <c r="F52" s="45">
        <v>351.4</v>
      </c>
      <c r="G52" s="55">
        <f t="shared" si="1"/>
        <v>3.1663316430888452E-19</v>
      </c>
      <c r="I52" s="47" t="s">
        <v>8</v>
      </c>
      <c r="J52" s="48">
        <f xml:space="preserve"> COUNTIF($G$2:$G$151,"&gt;="&amp;I51)</f>
        <v>28</v>
      </c>
    </row>
    <row r="53" spans="1:10" ht="19.8" customHeight="1" x14ac:dyDescent="0.3">
      <c r="A53" s="14">
        <f t="shared" si="3"/>
        <v>52</v>
      </c>
      <c r="B53" s="62">
        <v>4.0999999999999996</v>
      </c>
      <c r="C53" s="15">
        <f>B53*0.000382</f>
        <v>1.5662E-3</v>
      </c>
      <c r="D53" s="42">
        <v>37.72</v>
      </c>
      <c r="E53" s="56">
        <f t="shared" si="0"/>
        <v>4.1521739130434786E-5</v>
      </c>
      <c r="F53" s="43">
        <v>299.3</v>
      </c>
      <c r="G53" s="56">
        <f t="shared" si="1"/>
        <v>1.7387061575952524E-19</v>
      </c>
      <c r="I53" s="52" t="s">
        <v>13</v>
      </c>
      <c r="J53" s="49">
        <f>SUM(J2:J52)</f>
        <v>150</v>
      </c>
    </row>
    <row r="54" spans="1:10" ht="19.8" customHeight="1" x14ac:dyDescent="0.3">
      <c r="A54" s="14">
        <f t="shared" si="3"/>
        <v>53</v>
      </c>
      <c r="B54" s="62">
        <v>8.4</v>
      </c>
      <c r="C54" s="15">
        <f>B54*0.000382</f>
        <v>3.2088000000000004E-3</v>
      </c>
      <c r="D54" s="42">
        <v>56.42</v>
      </c>
      <c r="E54" s="56">
        <f t="shared" si="0"/>
        <v>5.6873449131513653E-5</v>
      </c>
      <c r="F54" s="43">
        <v>261.10000000000002</v>
      </c>
      <c r="G54" s="56">
        <f t="shared" si="1"/>
        <v>3.1950457746418254E-19</v>
      </c>
      <c r="I54" s="18"/>
    </row>
    <row r="55" spans="1:10" ht="19.8" customHeight="1" x14ac:dyDescent="0.3">
      <c r="A55" s="14">
        <f t="shared" si="3"/>
        <v>54</v>
      </c>
      <c r="B55" s="62">
        <v>9</v>
      </c>
      <c r="C55" s="15">
        <f>B55*0.000382</f>
        <v>3.4380000000000001E-3</v>
      </c>
      <c r="D55" s="42">
        <v>80.97</v>
      </c>
      <c r="E55" s="56">
        <f t="shared" si="0"/>
        <v>4.2460170433493887E-5</v>
      </c>
      <c r="F55" s="43">
        <v>298.10000000000002</v>
      </c>
      <c r="G55" s="56">
        <f t="shared" si="1"/>
        <v>1.8052203858466757E-19</v>
      </c>
      <c r="I55" s="18"/>
    </row>
    <row r="56" spans="1:10" ht="19.8" customHeight="1" x14ac:dyDescent="0.3">
      <c r="A56" s="14">
        <f t="shared" si="3"/>
        <v>55</v>
      </c>
      <c r="B56" s="62">
        <v>3</v>
      </c>
      <c r="C56" s="15">
        <f>B56*0.000382</f>
        <v>1.1460000000000001E-3</v>
      </c>
      <c r="D56" s="42">
        <v>13.31</v>
      </c>
      <c r="E56" s="56">
        <f t="shared" si="0"/>
        <v>8.6100676183320822E-5</v>
      </c>
      <c r="F56" s="43">
        <v>488.9</v>
      </c>
      <c r="G56" s="56">
        <f t="shared" si="1"/>
        <v>3.178406290914986E-19</v>
      </c>
      <c r="I56" s="18"/>
    </row>
    <row r="57" spans="1:10" ht="19.8" customHeight="1" x14ac:dyDescent="0.3">
      <c r="A57" s="14">
        <f t="shared" si="3"/>
        <v>56</v>
      </c>
      <c r="B57" s="62">
        <v>6</v>
      </c>
      <c r="C57" s="15">
        <f>B57*0.000382</f>
        <v>2.2920000000000002E-3</v>
      </c>
      <c r="D57" s="42">
        <v>43.59</v>
      </c>
      <c r="E57" s="56">
        <f t="shared" si="0"/>
        <v>5.2580867171369578E-5</v>
      </c>
      <c r="F57" s="43">
        <v>328.6</v>
      </c>
      <c r="G57" s="56">
        <f t="shared" si="1"/>
        <v>2.2568030650481154E-19</v>
      </c>
      <c r="I57" s="18"/>
    </row>
    <row r="58" spans="1:10" ht="19.8" customHeight="1" x14ac:dyDescent="0.3">
      <c r="A58" s="14">
        <f t="shared" si="3"/>
        <v>57</v>
      </c>
      <c r="B58" s="62">
        <v>9</v>
      </c>
      <c r="C58" s="15">
        <f>B58*0.000382</f>
        <v>3.4380000000000001E-3</v>
      </c>
      <c r="D58" s="42">
        <v>57.5</v>
      </c>
      <c r="E58" s="56">
        <f t="shared" si="0"/>
        <v>5.9791304347826086E-5</v>
      </c>
      <c r="F58" s="43">
        <v>280.3</v>
      </c>
      <c r="G58" s="56">
        <f t="shared" si="1"/>
        <v>3.2081417521553777E-19</v>
      </c>
      <c r="I58" s="18"/>
    </row>
    <row r="59" spans="1:10" ht="19.8" customHeight="1" x14ac:dyDescent="0.3">
      <c r="A59" s="14">
        <f t="shared" si="3"/>
        <v>58</v>
      </c>
      <c r="B59" s="62">
        <v>4</v>
      </c>
      <c r="C59" s="15">
        <f>B59*0.000382</f>
        <v>1.5280000000000001E-3</v>
      </c>
      <c r="D59" s="42">
        <v>26.32</v>
      </c>
      <c r="E59" s="56">
        <f t="shared" si="0"/>
        <v>5.8054711246200611E-5</v>
      </c>
      <c r="F59" s="43">
        <v>265</v>
      </c>
      <c r="G59" s="56">
        <f t="shared" si="1"/>
        <v>3.2466086070519004E-19</v>
      </c>
      <c r="I59" s="18"/>
    </row>
    <row r="60" spans="1:10" ht="19.8" customHeight="1" x14ac:dyDescent="0.3">
      <c r="A60" s="14">
        <f t="shared" si="3"/>
        <v>59</v>
      </c>
      <c r="B60" s="62">
        <v>5</v>
      </c>
      <c r="C60" s="15">
        <f>B60*0.000382</f>
        <v>1.91E-3</v>
      </c>
      <c r="D60" s="42">
        <v>54.03</v>
      </c>
      <c r="E60" s="56">
        <f t="shared" si="0"/>
        <v>3.5350731075328522E-5</v>
      </c>
      <c r="F60" s="43">
        <v>265</v>
      </c>
      <c r="G60" s="56">
        <f t="shared" si="1"/>
        <v>1.5426639518810453E-19</v>
      </c>
      <c r="I60" s="18"/>
    </row>
    <row r="61" spans="1:10" ht="19.8" customHeight="1" x14ac:dyDescent="0.3">
      <c r="A61" s="14">
        <f t="shared" si="3"/>
        <v>60</v>
      </c>
      <c r="B61" s="62">
        <v>6.7</v>
      </c>
      <c r="C61" s="15">
        <f>B61*0.000382</f>
        <v>2.5594000000000003E-3</v>
      </c>
      <c r="D61" s="42">
        <v>54.36</v>
      </c>
      <c r="E61" s="56">
        <f t="shared" si="0"/>
        <v>4.7082413539367186E-5</v>
      </c>
      <c r="F61" s="43">
        <v>302.8</v>
      </c>
      <c r="G61" s="56">
        <f t="shared" si="1"/>
        <v>2.0751610685919882E-19</v>
      </c>
      <c r="I61" s="18"/>
    </row>
    <row r="62" spans="1:10" ht="19.8" customHeight="1" x14ac:dyDescent="0.3">
      <c r="A62" s="14">
        <f t="shared" si="3"/>
        <v>61</v>
      </c>
      <c r="B62" s="62">
        <v>9.6999999999999993</v>
      </c>
      <c r="C62" s="15">
        <f>B62*0.000382</f>
        <v>3.7053999999999998E-3</v>
      </c>
      <c r="D62" s="42">
        <v>82.73</v>
      </c>
      <c r="E62" s="56">
        <f t="shared" si="0"/>
        <v>4.4789072887706993E-5</v>
      </c>
      <c r="F62" s="43">
        <v>187.6</v>
      </c>
      <c r="G62" s="56">
        <f t="shared" si="1"/>
        <v>3.107741454256557E-19</v>
      </c>
      <c r="I62" s="43">
        <v>187.6</v>
      </c>
    </row>
    <row r="63" spans="1:10" ht="19.8" customHeight="1" x14ac:dyDescent="0.3">
      <c r="A63" s="14">
        <f t="shared" si="3"/>
        <v>62</v>
      </c>
      <c r="B63" s="62">
        <v>4.5</v>
      </c>
      <c r="C63" s="15">
        <f>B63*0.000382</f>
        <v>1.719E-3</v>
      </c>
      <c r="D63" s="42">
        <v>63.32</v>
      </c>
      <c r="E63" s="56">
        <f t="shared" si="0"/>
        <v>2.7147820593809225E-5</v>
      </c>
      <c r="F63" s="43">
        <v>187.6</v>
      </c>
      <c r="G63" s="56">
        <f t="shared" si="1"/>
        <v>1.4665241778245619E-19</v>
      </c>
      <c r="I63" s="18">
        <v>187.6</v>
      </c>
    </row>
    <row r="64" spans="1:10" ht="19.8" customHeight="1" x14ac:dyDescent="0.3">
      <c r="A64" s="14">
        <f t="shared" si="3"/>
        <v>63</v>
      </c>
      <c r="B64" s="62">
        <v>4.3</v>
      </c>
      <c r="C64" s="15">
        <f>B64*0.000382</f>
        <v>1.6425999999999999E-3</v>
      </c>
      <c r="D64" s="42">
        <v>46.04</v>
      </c>
      <c r="E64" s="56">
        <f t="shared" si="0"/>
        <v>3.5677671589921808E-5</v>
      </c>
      <c r="F64" s="43">
        <v>300.3</v>
      </c>
      <c r="G64" s="56">
        <f t="shared" si="1"/>
        <v>1.3802540456259549E-19</v>
      </c>
      <c r="I64" s="18"/>
    </row>
    <row r="65" spans="1:9" ht="19.8" customHeight="1" x14ac:dyDescent="0.3">
      <c r="A65" s="14">
        <f t="shared" si="3"/>
        <v>64</v>
      </c>
      <c r="B65" s="62">
        <v>4.5</v>
      </c>
      <c r="C65" s="15">
        <f>B65*0.000382</f>
        <v>1.719E-3</v>
      </c>
      <c r="D65" s="42">
        <v>39.380000000000003</v>
      </c>
      <c r="E65" s="56">
        <f t="shared" si="0"/>
        <v>4.365159979685119E-5</v>
      </c>
      <c r="F65" s="43">
        <v>300.10000000000002</v>
      </c>
      <c r="G65" s="56">
        <f t="shared" si="1"/>
        <v>1.8691917587859454E-19</v>
      </c>
      <c r="I65" s="18"/>
    </row>
    <row r="66" spans="1:9" ht="19.8" customHeight="1" x14ac:dyDescent="0.3">
      <c r="A66" s="14">
        <f t="shared" si="3"/>
        <v>65</v>
      </c>
      <c r="B66" s="62">
        <v>6.4</v>
      </c>
      <c r="C66" s="15">
        <f>B66*0.000382</f>
        <v>2.4448000000000004E-3</v>
      </c>
      <c r="D66" s="42">
        <v>76.010000000000005</v>
      </c>
      <c r="E66" s="56">
        <f t="shared" si="0"/>
        <v>3.2164188922510196E-5</v>
      </c>
      <c r="F66" s="43">
        <v>323.3</v>
      </c>
      <c r="G66" s="56">
        <f t="shared" si="1"/>
        <v>1.0974198403896314E-19</v>
      </c>
      <c r="I66" s="18"/>
    </row>
    <row r="67" spans="1:9" ht="19.8" customHeight="1" x14ac:dyDescent="0.3">
      <c r="A67" s="14">
        <f t="shared" si="3"/>
        <v>66</v>
      </c>
      <c r="B67" s="62">
        <v>4</v>
      </c>
      <c r="C67" s="15">
        <f>B67*0.000382</f>
        <v>1.5280000000000001E-3</v>
      </c>
      <c r="D67" s="42">
        <v>24.82</v>
      </c>
      <c r="E67" s="56">
        <f t="shared" ref="E67:E130" si="4" xml:space="preserve"> C67/D67</f>
        <v>6.1563255439161962E-5</v>
      </c>
      <c r="F67" s="43">
        <v>280</v>
      </c>
      <c r="G67" s="56">
        <f t="shared" ref="G67:G130" si="5" xml:space="preserve"> 1.945*10^-10*E67^1.5/F67</f>
        <v>3.3553972166029179E-19</v>
      </c>
      <c r="I67" s="18"/>
    </row>
    <row r="68" spans="1:9" ht="19.8" customHeight="1" x14ac:dyDescent="0.3">
      <c r="A68" s="14">
        <f t="shared" si="3"/>
        <v>67</v>
      </c>
      <c r="B68" s="62">
        <v>6.5</v>
      </c>
      <c r="C68" s="15">
        <f t="shared" ref="C68:C131" si="6">B68*0.000382</f>
        <v>2.483E-3</v>
      </c>
      <c r="D68" s="42">
        <v>72.55</v>
      </c>
      <c r="E68" s="56">
        <f t="shared" si="4"/>
        <v>3.4224672639558923E-5</v>
      </c>
      <c r="F68" s="43">
        <v>346.2</v>
      </c>
      <c r="G68" s="56">
        <f t="shared" si="5"/>
        <v>1.1248678291958947E-19</v>
      </c>
      <c r="I68" s="18"/>
    </row>
    <row r="69" spans="1:9" ht="19.8" customHeight="1" x14ac:dyDescent="0.3">
      <c r="A69" s="14">
        <f t="shared" si="3"/>
        <v>68</v>
      </c>
      <c r="B69" s="62">
        <v>3.8</v>
      </c>
      <c r="C69" s="15">
        <f t="shared" si="6"/>
        <v>1.4515999999999999E-3</v>
      </c>
      <c r="D69" s="42">
        <v>46.15</v>
      </c>
      <c r="E69" s="56">
        <f t="shared" si="4"/>
        <v>3.1453954496208016E-5</v>
      </c>
      <c r="F69" s="43">
        <v>220.9</v>
      </c>
      <c r="G69" s="56">
        <f t="shared" si="5"/>
        <v>1.5532335795436841E-19</v>
      </c>
      <c r="I69" s="18"/>
    </row>
    <row r="70" spans="1:9" ht="19.8" customHeight="1" x14ac:dyDescent="0.3">
      <c r="A70" s="14">
        <f t="shared" si="3"/>
        <v>69</v>
      </c>
      <c r="B70" s="62">
        <v>5</v>
      </c>
      <c r="C70" s="15">
        <f t="shared" si="6"/>
        <v>1.91E-3</v>
      </c>
      <c r="D70" s="42">
        <v>47.62</v>
      </c>
      <c r="E70" s="56">
        <f t="shared" si="4"/>
        <v>4.0109197816043682E-5</v>
      </c>
      <c r="F70" s="43">
        <v>160.4</v>
      </c>
      <c r="G70" s="56">
        <f t="shared" si="5"/>
        <v>3.0802162378367452E-19</v>
      </c>
      <c r="I70" s="18"/>
    </row>
    <row r="71" spans="1:9" ht="19.8" customHeight="1" x14ac:dyDescent="0.3">
      <c r="A71" s="14">
        <f t="shared" si="3"/>
        <v>70</v>
      </c>
      <c r="B71" s="62">
        <v>4.2</v>
      </c>
      <c r="C71" s="15">
        <f t="shared" si="6"/>
        <v>1.6044000000000002E-3</v>
      </c>
      <c r="D71" s="42">
        <v>45.41</v>
      </c>
      <c r="E71" s="56">
        <f t="shared" si="4"/>
        <v>3.5331424796300381E-5</v>
      </c>
      <c r="F71" s="43">
        <v>234.3</v>
      </c>
      <c r="G71" s="56">
        <f t="shared" si="5"/>
        <v>1.7433678958293314E-19</v>
      </c>
      <c r="I71" s="18"/>
    </row>
    <row r="72" spans="1:9" ht="19.8" customHeight="1" x14ac:dyDescent="0.3">
      <c r="A72" s="14">
        <f t="shared" si="3"/>
        <v>71</v>
      </c>
      <c r="B72" s="62">
        <v>3.4</v>
      </c>
      <c r="C72" s="15">
        <f t="shared" si="6"/>
        <v>1.2987999999999999E-3</v>
      </c>
      <c r="D72" s="42">
        <v>39.729999999999997</v>
      </c>
      <c r="E72" s="56">
        <f t="shared" si="4"/>
        <v>3.2690661968285932E-5</v>
      </c>
      <c r="F72" s="43">
        <v>197.7</v>
      </c>
      <c r="G72" s="56">
        <f t="shared" si="5"/>
        <v>1.8388593345230329E-19</v>
      </c>
      <c r="I72" s="18"/>
    </row>
    <row r="73" spans="1:9" ht="19.8" customHeight="1" x14ac:dyDescent="0.3">
      <c r="A73" s="14">
        <f t="shared" si="3"/>
        <v>72</v>
      </c>
      <c r="B73" s="62">
        <v>6.8</v>
      </c>
      <c r="C73" s="15">
        <f t="shared" si="6"/>
        <v>2.5975999999999998E-3</v>
      </c>
      <c r="D73" s="42">
        <v>73.510000000000005</v>
      </c>
      <c r="E73" s="56">
        <f t="shared" si="4"/>
        <v>3.5336688885865861E-5</v>
      </c>
      <c r="F73" s="43">
        <v>197.7</v>
      </c>
      <c r="G73" s="56">
        <f t="shared" si="5"/>
        <v>2.0665775903237654E-19</v>
      </c>
      <c r="I73" s="18"/>
    </row>
    <row r="74" spans="1:9" ht="19.8" customHeight="1" x14ac:dyDescent="0.3">
      <c r="A74" s="14">
        <f t="shared" si="3"/>
        <v>73</v>
      </c>
      <c r="B74" s="62">
        <v>6.8</v>
      </c>
      <c r="C74" s="15">
        <f t="shared" si="6"/>
        <v>2.5975999999999998E-3</v>
      </c>
      <c r="D74" s="42">
        <v>72.38</v>
      </c>
      <c r="E74" s="56">
        <f t="shared" si="4"/>
        <v>3.5888366952196737E-5</v>
      </c>
      <c r="F74" s="43">
        <v>213.9</v>
      </c>
      <c r="G74" s="56">
        <f t="shared" si="5"/>
        <v>1.9549667096134093E-19</v>
      </c>
      <c r="I74" s="18"/>
    </row>
    <row r="75" spans="1:9" ht="19.8" customHeight="1" x14ac:dyDescent="0.3">
      <c r="A75" s="14">
        <f t="shared" si="3"/>
        <v>74</v>
      </c>
      <c r="B75" s="62">
        <v>5.7</v>
      </c>
      <c r="C75" s="15">
        <f t="shared" si="6"/>
        <v>2.1774000000000003E-3</v>
      </c>
      <c r="D75" s="42">
        <v>59.05</v>
      </c>
      <c r="E75" s="56">
        <f t="shared" si="4"/>
        <v>3.687383573243015E-5</v>
      </c>
      <c r="F75" s="43">
        <v>300.3</v>
      </c>
      <c r="G75" s="56">
        <f t="shared" si="5"/>
        <v>1.4502462408446964E-19</v>
      </c>
      <c r="I75" s="18"/>
    </row>
    <row r="76" spans="1:9" ht="19.8" customHeight="1" x14ac:dyDescent="0.3">
      <c r="A76" s="14">
        <f t="shared" si="3"/>
        <v>75</v>
      </c>
      <c r="B76" s="62">
        <v>6.4</v>
      </c>
      <c r="C76" s="15">
        <f t="shared" si="6"/>
        <v>2.4448000000000004E-3</v>
      </c>
      <c r="D76" s="42">
        <v>70.62</v>
      </c>
      <c r="E76" s="56">
        <f t="shared" si="4"/>
        <v>3.4619088077032004E-5</v>
      </c>
      <c r="F76" s="43">
        <v>278.3</v>
      </c>
      <c r="G76" s="56">
        <f t="shared" si="5"/>
        <v>1.4235733028995652E-19</v>
      </c>
      <c r="I76" s="18"/>
    </row>
    <row r="77" spans="1:9" ht="19.8" customHeight="1" x14ac:dyDescent="0.3">
      <c r="A77" s="12">
        <f t="shared" si="3"/>
        <v>76</v>
      </c>
      <c r="B77" s="61">
        <v>5.4</v>
      </c>
      <c r="C77" s="13">
        <f t="shared" si="6"/>
        <v>2.0628000000000001E-3</v>
      </c>
      <c r="D77" s="42">
        <v>45.33</v>
      </c>
      <c r="E77" s="56">
        <f t="shared" si="4"/>
        <v>4.550628722700199E-5</v>
      </c>
      <c r="F77" s="43">
        <v>177.1</v>
      </c>
      <c r="G77" s="55">
        <f t="shared" si="5"/>
        <v>3.3713834456359989E-19</v>
      </c>
      <c r="I77" s="18"/>
    </row>
    <row r="78" spans="1:9" ht="19.8" customHeight="1" x14ac:dyDescent="0.3">
      <c r="A78" s="14">
        <f t="shared" si="3"/>
        <v>77</v>
      </c>
      <c r="B78" s="62">
        <v>7.5</v>
      </c>
      <c r="C78" s="15">
        <f t="shared" si="6"/>
        <v>2.8649999999999999E-3</v>
      </c>
      <c r="D78" s="42">
        <v>51.42</v>
      </c>
      <c r="E78" s="56">
        <f t="shared" si="4"/>
        <v>5.5717619603267208E-5</v>
      </c>
      <c r="F78" s="43">
        <v>256.10000000000002</v>
      </c>
      <c r="G78" s="56">
        <f t="shared" si="5"/>
        <v>3.1586307439966127E-19</v>
      </c>
      <c r="I78" s="18"/>
    </row>
    <row r="79" spans="1:9" ht="19.8" customHeight="1" x14ac:dyDescent="0.3">
      <c r="A79" s="14">
        <f t="shared" si="3"/>
        <v>78</v>
      </c>
      <c r="B79" s="62">
        <v>4.3</v>
      </c>
      <c r="C79" s="15">
        <f t="shared" si="6"/>
        <v>1.6425999999999999E-3</v>
      </c>
      <c r="D79" s="42">
        <v>64.209999999999994</v>
      </c>
      <c r="E79" s="56">
        <f t="shared" si="4"/>
        <v>2.5581685095779475E-5</v>
      </c>
      <c r="F79" s="43">
        <v>165.4</v>
      </c>
      <c r="G79" s="56">
        <f t="shared" si="5"/>
        <v>1.5215205531331044E-19</v>
      </c>
      <c r="I79" s="18"/>
    </row>
    <row r="80" spans="1:9" ht="19.8" customHeight="1" x14ac:dyDescent="0.3">
      <c r="A80" s="14">
        <f t="shared" si="3"/>
        <v>79</v>
      </c>
      <c r="B80" s="62">
        <v>6.3</v>
      </c>
      <c r="C80" s="15">
        <f t="shared" si="6"/>
        <v>2.4066000000000001E-3</v>
      </c>
      <c r="D80" s="42">
        <v>65.2</v>
      </c>
      <c r="E80" s="56">
        <f t="shared" si="4"/>
        <v>3.6911042944785273E-5</v>
      </c>
      <c r="F80" s="43">
        <v>270.10000000000002</v>
      </c>
      <c r="G80" s="56">
        <f t="shared" si="5"/>
        <v>1.6148399924420792E-19</v>
      </c>
      <c r="I80" s="18"/>
    </row>
    <row r="81" spans="1:9" ht="19.8" customHeight="1" x14ac:dyDescent="0.3">
      <c r="A81" s="14">
        <f t="shared" si="3"/>
        <v>80</v>
      </c>
      <c r="B81" s="62">
        <v>3.7</v>
      </c>
      <c r="C81" s="15">
        <f t="shared" si="6"/>
        <v>1.4134000000000002E-3</v>
      </c>
      <c r="D81" s="42">
        <v>21.22</v>
      </c>
      <c r="E81" s="56">
        <f t="shared" si="4"/>
        <v>6.6606974552309151E-5</v>
      </c>
      <c r="F81" s="43">
        <v>329.6</v>
      </c>
      <c r="G81" s="56">
        <f t="shared" si="5"/>
        <v>3.2078345729575732E-19</v>
      </c>
      <c r="I81" s="18"/>
    </row>
    <row r="82" spans="1:9" ht="19.8" customHeight="1" x14ac:dyDescent="0.3">
      <c r="A82" s="14">
        <f t="shared" si="3"/>
        <v>81</v>
      </c>
      <c r="B82" s="62">
        <v>7.5</v>
      </c>
      <c r="C82" s="15">
        <f t="shared" si="6"/>
        <v>2.8649999999999999E-3</v>
      </c>
      <c r="D82" s="42">
        <v>60.56</v>
      </c>
      <c r="E82" s="56">
        <f t="shared" si="4"/>
        <v>4.7308454425363273E-5</v>
      </c>
      <c r="F82" s="43">
        <v>194.9</v>
      </c>
      <c r="G82" s="56">
        <f t="shared" si="5"/>
        <v>3.2472513517691105E-19</v>
      </c>
      <c r="I82" s="18"/>
    </row>
    <row r="83" spans="1:9" ht="19.8" customHeight="1" x14ac:dyDescent="0.3">
      <c r="A83" s="14">
        <f t="shared" si="3"/>
        <v>82</v>
      </c>
      <c r="B83" s="62">
        <v>7.6</v>
      </c>
      <c r="C83" s="15">
        <f t="shared" si="6"/>
        <v>2.9031999999999999E-3</v>
      </c>
      <c r="D83" s="42">
        <v>92.54</v>
      </c>
      <c r="E83" s="56">
        <f t="shared" si="4"/>
        <v>3.1372379511562561E-5</v>
      </c>
      <c r="F83" s="43">
        <v>231.5</v>
      </c>
      <c r="G83" s="56">
        <f t="shared" si="5"/>
        <v>1.4763516044018325E-19</v>
      </c>
      <c r="I83" s="18"/>
    </row>
    <row r="84" spans="1:9" ht="19.8" customHeight="1" x14ac:dyDescent="0.3">
      <c r="A84" s="14">
        <f t="shared" si="3"/>
        <v>83</v>
      </c>
      <c r="B84" s="62">
        <v>2.2999999999999998</v>
      </c>
      <c r="C84" s="15">
        <f t="shared" si="6"/>
        <v>8.786E-4</v>
      </c>
      <c r="D84" s="42">
        <v>18.399999999999999</v>
      </c>
      <c r="E84" s="56">
        <f t="shared" si="4"/>
        <v>4.7750000000000002E-5</v>
      </c>
      <c r="F84" s="43">
        <v>319.2</v>
      </c>
      <c r="G84" s="56">
        <f t="shared" si="5"/>
        <v>2.0105588371978242E-19</v>
      </c>
      <c r="I84" s="18"/>
    </row>
    <row r="85" spans="1:9" ht="19.8" customHeight="1" x14ac:dyDescent="0.3">
      <c r="A85" s="14">
        <f t="shared" si="3"/>
        <v>84</v>
      </c>
      <c r="B85" s="62">
        <v>7.5</v>
      </c>
      <c r="C85" s="15">
        <f t="shared" si="6"/>
        <v>2.8649999999999999E-3</v>
      </c>
      <c r="D85" s="42">
        <v>79.03</v>
      </c>
      <c r="E85" s="56">
        <f t="shared" si="4"/>
        <v>3.6252056181197015E-5</v>
      </c>
      <c r="F85" s="43">
        <v>119.2</v>
      </c>
      <c r="G85" s="56">
        <f t="shared" si="5"/>
        <v>3.561576825591882E-19</v>
      </c>
      <c r="I85" s="18"/>
    </row>
    <row r="86" spans="1:9" ht="19.8" customHeight="1" x14ac:dyDescent="0.3">
      <c r="A86" s="14">
        <f t="shared" si="3"/>
        <v>85</v>
      </c>
      <c r="B86" s="62">
        <v>6.2</v>
      </c>
      <c r="C86" s="15">
        <f t="shared" si="6"/>
        <v>2.3684000000000001E-3</v>
      </c>
      <c r="D86" s="42">
        <v>62.87</v>
      </c>
      <c r="E86" s="56">
        <f t="shared" si="4"/>
        <v>3.7671385398441234E-5</v>
      </c>
      <c r="F86" s="43">
        <v>265.3</v>
      </c>
      <c r="G86" s="56">
        <f t="shared" si="5"/>
        <v>1.695117251422873E-19</v>
      </c>
      <c r="I86" s="18"/>
    </row>
    <row r="87" spans="1:9" ht="19.8" customHeight="1" x14ac:dyDescent="0.3">
      <c r="A87" s="14">
        <f t="shared" si="3"/>
        <v>86</v>
      </c>
      <c r="B87" s="62">
        <v>5.6</v>
      </c>
      <c r="C87" s="15">
        <f t="shared" si="6"/>
        <v>2.1392E-3</v>
      </c>
      <c r="D87" s="42">
        <v>54.13</v>
      </c>
      <c r="E87" s="56">
        <f t="shared" si="4"/>
        <v>3.9519674856826155E-5</v>
      </c>
      <c r="F87" s="43">
        <v>154.6</v>
      </c>
      <c r="G87" s="56">
        <f t="shared" si="5"/>
        <v>3.1255766970715266E-19</v>
      </c>
      <c r="I87" s="18"/>
    </row>
    <row r="88" spans="1:9" ht="19.8" customHeight="1" x14ac:dyDescent="0.3">
      <c r="A88" s="14">
        <f t="shared" si="3"/>
        <v>87</v>
      </c>
      <c r="B88" s="62">
        <v>5.4</v>
      </c>
      <c r="C88" s="15">
        <f t="shared" si="6"/>
        <v>2.0628000000000001E-3</v>
      </c>
      <c r="D88" s="42">
        <v>32.119999999999997</v>
      </c>
      <c r="E88" s="56">
        <f t="shared" si="4"/>
        <v>6.4221668742216694E-5</v>
      </c>
      <c r="F88" s="43">
        <v>280.89999999999998</v>
      </c>
      <c r="G88" s="56">
        <f t="shared" si="5"/>
        <v>3.5636106293196069E-19</v>
      </c>
      <c r="I88" s="18"/>
    </row>
    <row r="89" spans="1:9" ht="19.8" customHeight="1" x14ac:dyDescent="0.3">
      <c r="A89" s="14">
        <f t="shared" si="3"/>
        <v>88</v>
      </c>
      <c r="B89" s="62">
        <v>8.3000000000000007</v>
      </c>
      <c r="C89" s="15">
        <f t="shared" si="6"/>
        <v>3.1706000000000004E-3</v>
      </c>
      <c r="D89" s="42">
        <v>78.64</v>
      </c>
      <c r="E89" s="56">
        <f t="shared" si="4"/>
        <v>4.0317904374364195E-5</v>
      </c>
      <c r="F89" s="43">
        <v>346.3</v>
      </c>
      <c r="G89" s="56">
        <f t="shared" si="5"/>
        <v>1.4378515165057115E-19</v>
      </c>
      <c r="I89" s="18"/>
    </row>
    <row r="90" spans="1:9" ht="19.8" customHeight="1" x14ac:dyDescent="0.3">
      <c r="A90" s="14">
        <f t="shared" si="3"/>
        <v>89</v>
      </c>
      <c r="B90" s="62">
        <v>7</v>
      </c>
      <c r="C90" s="15">
        <f t="shared" si="6"/>
        <v>2.6740000000000002E-3</v>
      </c>
      <c r="D90" s="42">
        <v>52.81</v>
      </c>
      <c r="E90" s="56">
        <f t="shared" si="4"/>
        <v>5.0634349555008525E-5</v>
      </c>
      <c r="F90" s="43">
        <v>268.10000000000002</v>
      </c>
      <c r="G90" s="56">
        <f t="shared" si="5"/>
        <v>2.6139100878956281E-19</v>
      </c>
      <c r="I90" s="18"/>
    </row>
    <row r="91" spans="1:9" ht="19.8" customHeight="1" x14ac:dyDescent="0.3">
      <c r="A91" s="14">
        <f t="shared" si="3"/>
        <v>90</v>
      </c>
      <c r="B91" s="62">
        <v>4.5</v>
      </c>
      <c r="C91" s="15">
        <f t="shared" si="6"/>
        <v>1.719E-3</v>
      </c>
      <c r="D91" s="42">
        <v>67.069999999999993</v>
      </c>
      <c r="E91" s="56">
        <f t="shared" si="4"/>
        <v>2.5629938869837487E-5</v>
      </c>
      <c r="F91" s="43">
        <v>192.8</v>
      </c>
      <c r="G91" s="56">
        <f t="shared" si="5"/>
        <v>1.3089827748161014E-19</v>
      </c>
      <c r="I91" s="18"/>
    </row>
    <row r="92" spans="1:9" ht="19.8" customHeight="1" x14ac:dyDescent="0.3">
      <c r="A92" s="14">
        <f t="shared" si="3"/>
        <v>91</v>
      </c>
      <c r="B92" s="62">
        <v>6.3</v>
      </c>
      <c r="C92" s="15">
        <f t="shared" si="6"/>
        <v>2.4066000000000001E-3</v>
      </c>
      <c r="D92" s="42">
        <v>59.35</v>
      </c>
      <c r="E92" s="56">
        <f t="shared" si="4"/>
        <v>4.0549283909014321E-5</v>
      </c>
      <c r="F92" s="43">
        <v>215.8</v>
      </c>
      <c r="G92" s="56">
        <f t="shared" si="5"/>
        <v>2.3272495174552171E-19</v>
      </c>
      <c r="I92" s="18"/>
    </row>
    <row r="93" spans="1:9" ht="19.8" customHeight="1" x14ac:dyDescent="0.3">
      <c r="A93" s="14">
        <f t="shared" si="3"/>
        <v>92</v>
      </c>
      <c r="B93" s="62">
        <v>1</v>
      </c>
      <c r="C93" s="15">
        <f t="shared" si="6"/>
        <v>3.8200000000000002E-4</v>
      </c>
      <c r="D93" s="42">
        <v>21.35</v>
      </c>
      <c r="E93" s="56">
        <f t="shared" si="4"/>
        <v>1.7892271662763466E-5</v>
      </c>
      <c r="F93" s="43">
        <v>96.3</v>
      </c>
      <c r="G93" s="56">
        <f t="shared" si="5"/>
        <v>1.5285918645641975E-19</v>
      </c>
      <c r="I93" s="18"/>
    </row>
    <row r="94" spans="1:9" ht="19.8" customHeight="1" x14ac:dyDescent="0.3">
      <c r="A94" s="14">
        <f t="shared" si="3"/>
        <v>93</v>
      </c>
      <c r="B94" s="62">
        <v>2</v>
      </c>
      <c r="C94" s="15">
        <f t="shared" si="6"/>
        <v>7.6400000000000003E-4</v>
      </c>
      <c r="D94" s="42">
        <v>16.850000000000001</v>
      </c>
      <c r="E94" s="56">
        <f t="shared" si="4"/>
        <v>4.5341246290801188E-5</v>
      </c>
      <c r="F94" s="43">
        <v>350.1</v>
      </c>
      <c r="G94" s="56">
        <f t="shared" si="5"/>
        <v>1.696163350121769E-19</v>
      </c>
      <c r="I94" s="18"/>
    </row>
    <row r="95" spans="1:9" ht="19.8" customHeight="1" x14ac:dyDescent="0.3">
      <c r="A95" s="14">
        <f t="shared" si="3"/>
        <v>94</v>
      </c>
      <c r="B95" s="62">
        <v>3.7</v>
      </c>
      <c r="C95" s="15">
        <f t="shared" si="6"/>
        <v>1.4134000000000002E-3</v>
      </c>
      <c r="D95" s="42">
        <v>21.22</v>
      </c>
      <c r="E95" s="56">
        <f t="shared" si="4"/>
        <v>6.6606974552309151E-5</v>
      </c>
      <c r="F95" s="43">
        <v>329.6</v>
      </c>
      <c r="G95" s="56">
        <f t="shared" si="5"/>
        <v>3.2078345729575732E-19</v>
      </c>
      <c r="I95" s="18"/>
    </row>
    <row r="96" spans="1:9" ht="19.8" customHeight="1" x14ac:dyDescent="0.3">
      <c r="A96" s="14">
        <f xml:space="preserve"> A95+1</f>
        <v>95</v>
      </c>
      <c r="B96" s="62">
        <v>2</v>
      </c>
      <c r="C96" s="15">
        <f t="shared" si="6"/>
        <v>7.6400000000000003E-4</v>
      </c>
      <c r="D96" s="42">
        <v>15.18</v>
      </c>
      <c r="E96" s="56">
        <f t="shared" si="4"/>
        <v>5.0329380764163375E-5</v>
      </c>
      <c r="F96" s="43">
        <v>230.6</v>
      </c>
      <c r="G96" s="56">
        <f t="shared" si="5"/>
        <v>3.0115680652839096E-19</v>
      </c>
      <c r="I96" s="18"/>
    </row>
    <row r="97" spans="1:30" ht="19.8" customHeight="1" x14ac:dyDescent="0.3">
      <c r="A97" s="14">
        <f t="shared" si="3"/>
        <v>96</v>
      </c>
      <c r="B97" s="62">
        <v>2</v>
      </c>
      <c r="C97" s="15">
        <f t="shared" si="6"/>
        <v>7.6400000000000003E-4</v>
      </c>
      <c r="D97" s="42">
        <v>15.18</v>
      </c>
      <c r="E97" s="56">
        <f t="shared" si="4"/>
        <v>5.0329380764163375E-5</v>
      </c>
      <c r="F97" s="43">
        <v>235.6</v>
      </c>
      <c r="G97" s="56">
        <f t="shared" si="5"/>
        <v>2.9476553304519083E-19</v>
      </c>
      <c r="I97" s="18"/>
    </row>
    <row r="98" spans="1:30" ht="19.8" customHeight="1" x14ac:dyDescent="0.3">
      <c r="A98" s="14">
        <f t="shared" si="3"/>
        <v>97</v>
      </c>
      <c r="B98" s="62">
        <v>2</v>
      </c>
      <c r="C98" s="15">
        <f t="shared" si="6"/>
        <v>7.6400000000000003E-4</v>
      </c>
      <c r="D98" s="42">
        <v>15.18</v>
      </c>
      <c r="E98" s="56">
        <f t="shared" si="4"/>
        <v>5.0329380764163375E-5</v>
      </c>
      <c r="F98" s="43">
        <v>230.6</v>
      </c>
      <c r="G98" s="56">
        <f t="shared" si="5"/>
        <v>3.0115680652839096E-19</v>
      </c>
      <c r="I98" s="18"/>
    </row>
    <row r="99" spans="1:30" ht="19.8" customHeight="1" x14ac:dyDescent="0.3">
      <c r="A99" s="14">
        <f xml:space="preserve"> A98+1</f>
        <v>98</v>
      </c>
      <c r="B99" s="62">
        <v>1</v>
      </c>
      <c r="C99" s="15">
        <f t="shared" si="6"/>
        <v>3.8200000000000002E-4</v>
      </c>
      <c r="D99" s="42">
        <v>7.25</v>
      </c>
      <c r="E99" s="56">
        <f t="shared" si="4"/>
        <v>5.2689655172413795E-5</v>
      </c>
      <c r="F99" s="43">
        <v>245</v>
      </c>
      <c r="G99" s="56">
        <f t="shared" si="5"/>
        <v>3.0362781607464198E-19</v>
      </c>
      <c r="I99" s="18"/>
    </row>
    <row r="100" spans="1:30" ht="19.8" customHeight="1" x14ac:dyDescent="0.3">
      <c r="A100" s="14">
        <f t="shared" si="3"/>
        <v>99</v>
      </c>
      <c r="B100" s="62">
        <v>5</v>
      </c>
      <c r="C100" s="15">
        <f t="shared" si="6"/>
        <v>1.91E-3</v>
      </c>
      <c r="D100" s="42">
        <v>47.62</v>
      </c>
      <c r="E100" s="56">
        <f t="shared" si="4"/>
        <v>4.0109197816043682E-5</v>
      </c>
      <c r="F100" s="43">
        <v>160.4</v>
      </c>
      <c r="G100" s="56">
        <f t="shared" si="5"/>
        <v>3.0802162378367452E-19</v>
      </c>
      <c r="I100" s="18"/>
    </row>
    <row r="101" spans="1:30" ht="19.8" customHeight="1" thickBot="1" x14ac:dyDescent="0.35">
      <c r="A101" s="34">
        <f t="shared" si="3"/>
        <v>100</v>
      </c>
      <c r="B101" s="63">
        <v>2</v>
      </c>
      <c r="C101" s="35">
        <f t="shared" si="6"/>
        <v>7.6400000000000003E-4</v>
      </c>
      <c r="D101" s="42">
        <v>13.17</v>
      </c>
      <c r="E101" s="36">
        <f t="shared" si="4"/>
        <v>5.8010630220197421E-5</v>
      </c>
      <c r="F101" s="43">
        <v>284.3</v>
      </c>
      <c r="G101" s="36">
        <f t="shared" si="5"/>
        <v>3.0227631654900422E-19</v>
      </c>
      <c r="I101" s="18"/>
    </row>
    <row r="102" spans="1:30" ht="19.8" customHeight="1" x14ac:dyDescent="0.3">
      <c r="A102" s="12">
        <f t="shared" si="3"/>
        <v>101</v>
      </c>
      <c r="B102" s="61">
        <v>1</v>
      </c>
      <c r="C102" s="13">
        <f t="shared" si="6"/>
        <v>3.8200000000000002E-4</v>
      </c>
      <c r="D102" s="42">
        <v>6.3</v>
      </c>
      <c r="E102" s="55">
        <f t="shared" si="4"/>
        <v>6.0634920634920636E-5</v>
      </c>
      <c r="F102" s="43">
        <v>322</v>
      </c>
      <c r="G102" s="55">
        <f t="shared" si="5"/>
        <v>2.851989709396759E-19</v>
      </c>
    </row>
    <row r="103" spans="1:30" ht="19.8" customHeight="1" x14ac:dyDescent="0.3">
      <c r="A103" s="14">
        <f t="shared" si="3"/>
        <v>102</v>
      </c>
      <c r="B103" s="62">
        <v>1</v>
      </c>
      <c r="C103" s="15">
        <f t="shared" si="6"/>
        <v>3.8200000000000002E-4</v>
      </c>
      <c r="D103" s="42">
        <v>3.78</v>
      </c>
      <c r="E103" s="56">
        <f t="shared" si="4"/>
        <v>1.0105820105820107E-4</v>
      </c>
      <c r="F103" s="43">
        <v>299.3</v>
      </c>
      <c r="G103" s="56">
        <f t="shared" si="5"/>
        <v>6.6019196359498897E-19</v>
      </c>
    </row>
    <row r="104" spans="1:30" s="31" customFormat="1" ht="19.8" customHeight="1" x14ac:dyDescent="0.3">
      <c r="A104" s="14">
        <f t="shared" si="3"/>
        <v>103</v>
      </c>
      <c r="B104" s="62">
        <v>1</v>
      </c>
      <c r="C104" s="15">
        <f t="shared" si="6"/>
        <v>3.8200000000000002E-4</v>
      </c>
      <c r="D104" s="42">
        <v>2.98</v>
      </c>
      <c r="E104" s="56">
        <f t="shared" si="4"/>
        <v>1.2818791946308725E-4</v>
      </c>
      <c r="F104" s="43">
        <v>350.7</v>
      </c>
      <c r="G104" s="56">
        <f t="shared" si="5"/>
        <v>8.0492327961144201E-19</v>
      </c>
    </row>
    <row r="105" spans="1:30" s="30" customFormat="1" ht="19.8" customHeight="1" x14ac:dyDescent="0.3">
      <c r="A105" s="14">
        <f t="shared" si="3"/>
        <v>104</v>
      </c>
      <c r="B105" s="62">
        <v>1</v>
      </c>
      <c r="C105" s="15">
        <f t="shared" si="6"/>
        <v>3.8200000000000002E-4</v>
      </c>
      <c r="D105" s="42">
        <v>3.02</v>
      </c>
      <c r="E105" s="56">
        <f t="shared" si="4"/>
        <v>1.2649006622516556E-4</v>
      </c>
      <c r="F105" s="43">
        <v>350.7</v>
      </c>
      <c r="G105" s="52">
        <f t="shared" si="5"/>
        <v>7.8898449700940419E-19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spans="1:30" s="31" customFormat="1" ht="19.8" customHeight="1" x14ac:dyDescent="0.3">
      <c r="A106" s="14">
        <f t="shared" si="3"/>
        <v>105</v>
      </c>
      <c r="B106" s="62">
        <v>1</v>
      </c>
      <c r="C106" s="15">
        <f t="shared" si="6"/>
        <v>3.8200000000000002E-4</v>
      </c>
      <c r="D106" s="42">
        <v>4.21</v>
      </c>
      <c r="E106" s="56">
        <f t="shared" si="4"/>
        <v>9.0736342042755345E-5</v>
      </c>
      <c r="F106" s="43">
        <v>244.4</v>
      </c>
      <c r="G106" s="52">
        <f t="shared" si="5"/>
        <v>6.8784455652967372E-19</v>
      </c>
    </row>
    <row r="107" spans="1:30" s="31" customFormat="1" ht="19.8" customHeight="1" x14ac:dyDescent="0.3">
      <c r="A107" s="14">
        <f t="shared" si="3"/>
        <v>106</v>
      </c>
      <c r="B107" s="62">
        <v>1</v>
      </c>
      <c r="C107" s="15">
        <f t="shared" si="6"/>
        <v>3.8200000000000002E-4</v>
      </c>
      <c r="D107" s="42">
        <v>6.3</v>
      </c>
      <c r="E107" s="56">
        <f t="shared" si="4"/>
        <v>6.0634920634920636E-5</v>
      </c>
      <c r="F107" s="43">
        <v>53.8</v>
      </c>
      <c r="G107" s="56">
        <f t="shared" si="5"/>
        <v>1.7069529487467593E-18</v>
      </c>
    </row>
    <row r="108" spans="1:30" s="31" customFormat="1" ht="19.8" customHeight="1" x14ac:dyDescent="0.3">
      <c r="A108" s="14">
        <f t="shared" si="3"/>
        <v>107</v>
      </c>
      <c r="B108" s="62">
        <v>1</v>
      </c>
      <c r="C108" s="15">
        <f t="shared" si="6"/>
        <v>3.8200000000000002E-4</v>
      </c>
      <c r="D108" s="42">
        <v>2.86</v>
      </c>
      <c r="E108" s="56">
        <f t="shared" si="4"/>
        <v>1.3356643356643357E-4</v>
      </c>
      <c r="F108" s="43">
        <v>158.30000000000001</v>
      </c>
      <c r="G108" s="56">
        <f t="shared" si="5"/>
        <v>1.8966390388481107E-18</v>
      </c>
    </row>
    <row r="109" spans="1:30" s="31" customFormat="1" ht="19.8" customHeight="1" x14ac:dyDescent="0.3">
      <c r="A109" s="14">
        <f t="shared" si="3"/>
        <v>108</v>
      </c>
      <c r="B109" s="62">
        <v>1</v>
      </c>
      <c r="C109" s="15">
        <f t="shared" si="6"/>
        <v>3.8200000000000002E-4</v>
      </c>
      <c r="D109" s="42">
        <v>2.16</v>
      </c>
      <c r="E109" s="56">
        <f t="shared" si="4"/>
        <v>1.7685185185185184E-4</v>
      </c>
      <c r="F109" s="43">
        <v>219.8</v>
      </c>
      <c r="G109" s="56">
        <f t="shared" si="5"/>
        <v>2.081164145475554E-18</v>
      </c>
    </row>
    <row r="110" spans="1:30" s="31" customFormat="1" ht="19.8" customHeight="1" x14ac:dyDescent="0.3">
      <c r="A110" s="14">
        <f t="shared" si="3"/>
        <v>109</v>
      </c>
      <c r="B110" s="62">
        <v>1</v>
      </c>
      <c r="C110" s="15">
        <f t="shared" si="6"/>
        <v>3.8200000000000002E-4</v>
      </c>
      <c r="D110" s="42">
        <v>9.16</v>
      </c>
      <c r="E110" s="56">
        <f t="shared" si="4"/>
        <v>4.1703056768558953E-5</v>
      </c>
      <c r="F110" s="43">
        <v>136.30000000000001</v>
      </c>
      <c r="G110" s="56">
        <f t="shared" si="5"/>
        <v>3.8430460073879024E-19</v>
      </c>
    </row>
    <row r="111" spans="1:30" s="31" customFormat="1" ht="19.8" customHeight="1" x14ac:dyDescent="0.3">
      <c r="A111" s="14">
        <f t="shared" si="3"/>
        <v>110</v>
      </c>
      <c r="B111" s="62">
        <v>1</v>
      </c>
      <c r="C111" s="15">
        <f t="shared" si="6"/>
        <v>3.8200000000000002E-4</v>
      </c>
      <c r="D111" s="42">
        <v>9.1</v>
      </c>
      <c r="E111" s="56">
        <f t="shared" si="4"/>
        <v>4.1978021978021979E-5</v>
      </c>
      <c r="F111" s="43">
        <v>108.9</v>
      </c>
      <c r="G111" s="56">
        <f t="shared" si="5"/>
        <v>4.8576327936615838E-19</v>
      </c>
    </row>
    <row r="112" spans="1:30" s="31" customFormat="1" ht="19.8" customHeight="1" x14ac:dyDescent="0.3">
      <c r="A112" s="14">
        <f t="shared" si="3"/>
        <v>111</v>
      </c>
      <c r="B112" s="62">
        <v>1</v>
      </c>
      <c r="C112" s="15">
        <f t="shared" si="6"/>
        <v>3.8200000000000002E-4</v>
      </c>
      <c r="D112" s="42">
        <v>6</v>
      </c>
      <c r="E112" s="56">
        <f t="shared" si="4"/>
        <v>6.3666666666666665E-5</v>
      </c>
      <c r="F112" s="43">
        <v>266.60000000000002</v>
      </c>
      <c r="G112" s="56">
        <f t="shared" si="5"/>
        <v>3.7061895687139336E-19</v>
      </c>
    </row>
    <row r="113" spans="1:7" s="31" customFormat="1" ht="19.8" customHeight="1" x14ac:dyDescent="0.3">
      <c r="A113" s="14">
        <f t="shared" si="3"/>
        <v>112</v>
      </c>
      <c r="B113" s="62">
        <v>1</v>
      </c>
      <c r="C113" s="15">
        <f t="shared" si="6"/>
        <v>3.8200000000000002E-4</v>
      </c>
      <c r="D113" s="42">
        <v>5.2</v>
      </c>
      <c r="E113" s="56">
        <f t="shared" si="4"/>
        <v>7.3461538461538467E-5</v>
      </c>
      <c r="F113" s="43">
        <v>258.8</v>
      </c>
      <c r="G113" s="56">
        <f t="shared" si="5"/>
        <v>4.7320068276010004E-19</v>
      </c>
    </row>
    <row r="114" spans="1:7" s="31" customFormat="1" ht="19.8" customHeight="1" x14ac:dyDescent="0.3">
      <c r="A114" s="14">
        <f t="shared" si="3"/>
        <v>113</v>
      </c>
      <c r="B114" s="62">
        <v>1</v>
      </c>
      <c r="C114" s="15">
        <f t="shared" si="6"/>
        <v>3.8200000000000002E-4</v>
      </c>
      <c r="D114" s="42">
        <v>2.96</v>
      </c>
      <c r="E114" s="56">
        <f t="shared" si="4"/>
        <v>1.2905405405405407E-4</v>
      </c>
      <c r="F114" s="43">
        <v>258</v>
      </c>
      <c r="G114" s="56">
        <f t="shared" si="5"/>
        <v>1.1052419934172254E-18</v>
      </c>
    </row>
    <row r="115" spans="1:7" s="31" customFormat="1" ht="19.8" customHeight="1" x14ac:dyDescent="0.3">
      <c r="A115" s="14">
        <f t="shared" si="3"/>
        <v>114</v>
      </c>
      <c r="B115" s="62">
        <v>1</v>
      </c>
      <c r="C115" s="15">
        <f t="shared" si="6"/>
        <v>3.8200000000000002E-4</v>
      </c>
      <c r="D115" s="42">
        <v>4.84</v>
      </c>
      <c r="E115" s="56">
        <f t="shared" si="4"/>
        <v>7.8925619834710746E-5</v>
      </c>
      <c r="F115" s="43">
        <v>205.9</v>
      </c>
      <c r="G115" s="56">
        <f t="shared" si="5"/>
        <v>6.6235414878233118E-19</v>
      </c>
    </row>
    <row r="116" spans="1:7" s="31" customFormat="1" ht="19.8" customHeight="1" x14ac:dyDescent="0.3">
      <c r="A116" s="14">
        <f t="shared" ref="A116:A151" si="7" xml:space="preserve"> A115+1</f>
        <v>115</v>
      </c>
      <c r="B116" s="62">
        <v>1</v>
      </c>
      <c r="C116" s="15">
        <f t="shared" si="6"/>
        <v>3.8200000000000002E-4</v>
      </c>
      <c r="D116" s="42">
        <v>3</v>
      </c>
      <c r="E116" s="56">
        <f t="shared" si="4"/>
        <v>1.2733333333333333E-4</v>
      </c>
      <c r="F116" s="43">
        <v>278.2</v>
      </c>
      <c r="G116" s="56">
        <f t="shared" si="5"/>
        <v>1.0045594472873698E-18</v>
      </c>
    </row>
    <row r="117" spans="1:7" s="31" customFormat="1" ht="19.8" customHeight="1" x14ac:dyDescent="0.3">
      <c r="A117" s="14">
        <f t="shared" si="7"/>
        <v>116</v>
      </c>
      <c r="B117" s="62">
        <v>1</v>
      </c>
      <c r="C117" s="15">
        <f t="shared" si="6"/>
        <v>3.8200000000000002E-4</v>
      </c>
      <c r="D117" s="42">
        <v>5.86</v>
      </c>
      <c r="E117" s="56">
        <f t="shared" si="4"/>
        <v>6.518771331058021E-5</v>
      </c>
      <c r="F117" s="43">
        <v>246.3</v>
      </c>
      <c r="G117" s="56">
        <f t="shared" si="5"/>
        <v>4.1562705903145463E-19</v>
      </c>
    </row>
    <row r="118" spans="1:7" s="31" customFormat="1" ht="19.8" customHeight="1" x14ac:dyDescent="0.3">
      <c r="A118" s="14">
        <f t="shared" si="7"/>
        <v>117</v>
      </c>
      <c r="B118" s="62">
        <v>1</v>
      </c>
      <c r="C118" s="15">
        <f t="shared" si="6"/>
        <v>3.8200000000000002E-4</v>
      </c>
      <c r="D118" s="42">
        <v>5.58</v>
      </c>
      <c r="E118" s="56">
        <f t="shared" si="4"/>
        <v>6.8458781362007174E-5</v>
      </c>
      <c r="F118" s="43">
        <v>234.1</v>
      </c>
      <c r="G118" s="56">
        <f t="shared" si="5"/>
        <v>4.7061085243803539E-19</v>
      </c>
    </row>
    <row r="119" spans="1:7" s="31" customFormat="1" ht="19.8" customHeight="1" x14ac:dyDescent="0.3">
      <c r="A119" s="14">
        <f t="shared" si="7"/>
        <v>118</v>
      </c>
      <c r="B119" s="62">
        <v>1</v>
      </c>
      <c r="C119" s="15">
        <f t="shared" si="6"/>
        <v>3.8200000000000002E-4</v>
      </c>
      <c r="D119" s="42">
        <v>9.5</v>
      </c>
      <c r="E119" s="56">
        <f t="shared" si="4"/>
        <v>4.0210526315789477E-5</v>
      </c>
      <c r="F119" s="43">
        <v>308.39999999999998</v>
      </c>
      <c r="G119" s="56">
        <f t="shared" si="5"/>
        <v>1.6081067419790348E-19</v>
      </c>
    </row>
    <row r="120" spans="1:7" s="31" customFormat="1" ht="19.8" customHeight="1" x14ac:dyDescent="0.3">
      <c r="A120" s="14">
        <f t="shared" si="7"/>
        <v>119</v>
      </c>
      <c r="B120" s="62">
        <v>1</v>
      </c>
      <c r="C120" s="15">
        <f t="shared" si="6"/>
        <v>3.8200000000000002E-4</v>
      </c>
      <c r="D120" s="42">
        <v>4.25</v>
      </c>
      <c r="E120" s="56">
        <f t="shared" si="4"/>
        <v>8.9882352941176479E-5</v>
      </c>
      <c r="F120" s="43">
        <v>226.5</v>
      </c>
      <c r="G120" s="56">
        <f t="shared" si="5"/>
        <v>7.3175053495978284E-19</v>
      </c>
    </row>
    <row r="121" spans="1:7" s="31" customFormat="1" ht="19.8" customHeight="1" x14ac:dyDescent="0.3">
      <c r="A121" s="14">
        <f t="shared" si="7"/>
        <v>120</v>
      </c>
      <c r="B121" s="62">
        <v>1</v>
      </c>
      <c r="C121" s="15">
        <f t="shared" si="6"/>
        <v>3.8200000000000002E-4</v>
      </c>
      <c r="D121" s="42">
        <v>8</v>
      </c>
      <c r="E121" s="56">
        <f t="shared" si="4"/>
        <v>4.7750000000000002E-5</v>
      </c>
      <c r="F121" s="43">
        <v>239.1</v>
      </c>
      <c r="G121" s="56">
        <f t="shared" si="5"/>
        <v>2.684108660951675E-19</v>
      </c>
    </row>
    <row r="122" spans="1:7" s="31" customFormat="1" ht="19.8" customHeight="1" x14ac:dyDescent="0.3">
      <c r="A122" s="14">
        <f t="shared" si="7"/>
        <v>121</v>
      </c>
      <c r="B122" s="62">
        <v>1</v>
      </c>
      <c r="C122" s="15">
        <f t="shared" si="6"/>
        <v>3.8200000000000002E-4</v>
      </c>
      <c r="D122" s="42">
        <v>13.4</v>
      </c>
      <c r="E122" s="56">
        <f t="shared" si="4"/>
        <v>2.8507462686567164E-5</v>
      </c>
      <c r="F122" s="43">
        <v>174.2</v>
      </c>
      <c r="G122" s="56">
        <f t="shared" si="5"/>
        <v>1.6994535617502908E-19</v>
      </c>
    </row>
    <row r="123" spans="1:7" s="31" customFormat="1" ht="19.8" customHeight="1" x14ac:dyDescent="0.3">
      <c r="A123" s="14">
        <f t="shared" si="7"/>
        <v>122</v>
      </c>
      <c r="B123" s="62">
        <v>1</v>
      </c>
      <c r="C123" s="15">
        <f t="shared" si="6"/>
        <v>3.8200000000000002E-4</v>
      </c>
      <c r="D123" s="42">
        <v>10</v>
      </c>
      <c r="E123" s="56">
        <f t="shared" si="4"/>
        <v>3.82E-5</v>
      </c>
      <c r="F123" s="43">
        <v>182.7</v>
      </c>
      <c r="G123" s="56">
        <f t="shared" si="5"/>
        <v>2.5134838708085134E-19</v>
      </c>
    </row>
    <row r="124" spans="1:7" s="31" customFormat="1" ht="19.8" customHeight="1" x14ac:dyDescent="0.3">
      <c r="A124" s="14">
        <f t="shared" si="7"/>
        <v>123</v>
      </c>
      <c r="B124" s="62">
        <v>1</v>
      </c>
      <c r="C124" s="15">
        <f t="shared" si="6"/>
        <v>3.8200000000000002E-4</v>
      </c>
      <c r="D124" s="42">
        <v>4</v>
      </c>
      <c r="E124" s="56">
        <f t="shared" si="4"/>
        <v>9.5500000000000004E-5</v>
      </c>
      <c r="F124" s="43">
        <v>297.60000000000002</v>
      </c>
      <c r="G124" s="56">
        <f t="shared" si="5"/>
        <v>6.0994648958612042E-19</v>
      </c>
    </row>
    <row r="125" spans="1:7" s="31" customFormat="1" ht="19.8" customHeight="1" x14ac:dyDescent="0.3">
      <c r="A125" s="14">
        <f t="shared" si="7"/>
        <v>124</v>
      </c>
      <c r="B125" s="62">
        <v>1</v>
      </c>
      <c r="C125" s="15">
        <f t="shared" si="6"/>
        <v>3.8200000000000002E-4</v>
      </c>
      <c r="D125" s="42">
        <v>5.0999999999999996</v>
      </c>
      <c r="E125" s="56">
        <f t="shared" si="4"/>
        <v>7.4901960784313728E-5</v>
      </c>
      <c r="F125" s="43">
        <v>263.39999999999998</v>
      </c>
      <c r="G125" s="56">
        <f t="shared" si="5"/>
        <v>4.7867816252258842E-19</v>
      </c>
    </row>
    <row r="126" spans="1:7" s="31" customFormat="1" ht="19.8" customHeight="1" thickBot="1" x14ac:dyDescent="0.35">
      <c r="A126" s="14">
        <f t="shared" si="7"/>
        <v>125</v>
      </c>
      <c r="B126" s="62">
        <v>1</v>
      </c>
      <c r="C126" s="15">
        <f t="shared" si="6"/>
        <v>3.8200000000000002E-4</v>
      </c>
      <c r="D126" s="39">
        <v>4.05</v>
      </c>
      <c r="E126" s="56">
        <f t="shared" si="4"/>
        <v>9.432098765432099E-5</v>
      </c>
      <c r="F126" s="44">
        <v>187.4</v>
      </c>
      <c r="G126" s="56">
        <f t="shared" si="5"/>
        <v>9.507416692588579E-19</v>
      </c>
    </row>
    <row r="127" spans="1:7" s="31" customFormat="1" ht="19.8" customHeight="1" thickTop="1" x14ac:dyDescent="0.3">
      <c r="A127" s="14">
        <f t="shared" si="7"/>
        <v>126</v>
      </c>
      <c r="B127" s="62">
        <v>1</v>
      </c>
      <c r="C127" s="15">
        <f t="shared" si="6"/>
        <v>3.8200000000000002E-4</v>
      </c>
      <c r="D127" s="40">
        <v>5.5</v>
      </c>
      <c r="E127" s="56">
        <f t="shared" si="4"/>
        <v>6.9454545454545452E-5</v>
      </c>
      <c r="F127" s="45">
        <v>157.30000000000001</v>
      </c>
      <c r="G127" s="56">
        <f t="shared" si="5"/>
        <v>7.1571792335777507E-19</v>
      </c>
    </row>
    <row r="128" spans="1:7" s="31" customFormat="1" ht="19.8" customHeight="1" x14ac:dyDescent="0.3">
      <c r="A128" s="14">
        <f t="shared" si="7"/>
        <v>127</v>
      </c>
      <c r="B128" s="62">
        <v>1</v>
      </c>
      <c r="C128" s="15">
        <f t="shared" si="6"/>
        <v>3.8200000000000002E-4</v>
      </c>
      <c r="D128" s="42">
        <v>10</v>
      </c>
      <c r="E128" s="56">
        <f t="shared" si="4"/>
        <v>3.82E-5</v>
      </c>
      <c r="F128" s="43">
        <v>193.7</v>
      </c>
      <c r="G128" s="56">
        <f t="shared" si="5"/>
        <v>2.3707460154709103E-19</v>
      </c>
    </row>
    <row r="129" spans="1:30" s="31" customFormat="1" ht="19.8" customHeight="1" x14ac:dyDescent="0.3">
      <c r="A129" s="14">
        <f t="shared" si="7"/>
        <v>128</v>
      </c>
      <c r="B129" s="62">
        <v>1</v>
      </c>
      <c r="C129" s="15">
        <f t="shared" si="6"/>
        <v>3.8200000000000002E-4</v>
      </c>
      <c r="D129" s="42">
        <v>6.5</v>
      </c>
      <c r="E129" s="56">
        <f t="shared" si="4"/>
        <v>5.8769230769230771E-5</v>
      </c>
      <c r="F129" s="43">
        <v>181.9</v>
      </c>
      <c r="G129" s="56">
        <f t="shared" si="5"/>
        <v>4.817391211467433E-19</v>
      </c>
    </row>
    <row r="130" spans="1:30" s="31" customFormat="1" ht="19.8" customHeight="1" x14ac:dyDescent="0.3">
      <c r="A130" s="14">
        <f t="shared" si="7"/>
        <v>129</v>
      </c>
      <c r="B130" s="62">
        <v>1</v>
      </c>
      <c r="C130" s="15">
        <f t="shared" si="6"/>
        <v>3.8200000000000002E-4</v>
      </c>
      <c r="D130" s="42">
        <v>8</v>
      </c>
      <c r="E130" s="56">
        <f t="shared" si="4"/>
        <v>4.7750000000000002E-5</v>
      </c>
      <c r="F130" s="43">
        <v>292.3</v>
      </c>
      <c r="G130" s="56">
        <f t="shared" si="5"/>
        <v>2.1955880288523623E-19</v>
      </c>
    </row>
    <row r="131" spans="1:30" s="31" customFormat="1" ht="19.8" customHeight="1" x14ac:dyDescent="0.3">
      <c r="A131" s="14">
        <f t="shared" si="7"/>
        <v>130</v>
      </c>
      <c r="B131" s="62">
        <v>1</v>
      </c>
      <c r="C131" s="15">
        <f t="shared" si="6"/>
        <v>3.8200000000000002E-4</v>
      </c>
      <c r="D131" s="42">
        <v>10</v>
      </c>
      <c r="E131" s="56">
        <f t="shared" ref="E131:E151" si="8" xml:space="preserve"> C131/D131</f>
        <v>3.82E-5</v>
      </c>
      <c r="F131" s="43">
        <v>301.5</v>
      </c>
      <c r="G131" s="56">
        <f t="shared" ref="G131:G151" si="9" xml:space="preserve"> 1.945*10^-10*E131^1.5/F131</f>
        <v>1.5230961963406811E-19</v>
      </c>
    </row>
    <row r="132" spans="1:30" s="31" customFormat="1" ht="19.8" customHeight="1" x14ac:dyDescent="0.3">
      <c r="A132" s="14">
        <f t="shared" si="7"/>
        <v>131</v>
      </c>
      <c r="B132" s="62">
        <v>1</v>
      </c>
      <c r="C132" s="15">
        <f t="shared" ref="C132:C151" si="10">B132*0.000382</f>
        <v>3.8200000000000002E-4</v>
      </c>
      <c r="D132" s="42">
        <v>4</v>
      </c>
      <c r="E132" s="56">
        <f t="shared" si="8"/>
        <v>9.5500000000000004E-5</v>
      </c>
      <c r="F132" s="43">
        <v>179.2</v>
      </c>
      <c r="G132" s="56">
        <f t="shared" si="9"/>
        <v>1.0129468487769501E-18</v>
      </c>
    </row>
    <row r="133" spans="1:30" s="31" customFormat="1" ht="19.8" customHeight="1" x14ac:dyDescent="0.3">
      <c r="A133" s="14">
        <f t="shared" si="7"/>
        <v>132</v>
      </c>
      <c r="B133" s="62">
        <v>1</v>
      </c>
      <c r="C133" s="15">
        <f t="shared" si="10"/>
        <v>3.8200000000000002E-4</v>
      </c>
      <c r="D133" s="42">
        <v>9.6</v>
      </c>
      <c r="E133" s="56">
        <f t="shared" si="8"/>
        <v>3.9791666666666667E-5</v>
      </c>
      <c r="F133" s="43">
        <v>237.5</v>
      </c>
      <c r="G133" s="56">
        <f t="shared" si="9"/>
        <v>2.0556263995392659E-19</v>
      </c>
    </row>
    <row r="134" spans="1:30" s="31" customFormat="1" ht="19.8" customHeight="1" x14ac:dyDescent="0.3">
      <c r="A134" s="14">
        <f t="shared" si="7"/>
        <v>133</v>
      </c>
      <c r="B134" s="62">
        <v>1</v>
      </c>
      <c r="C134" s="15">
        <f t="shared" si="10"/>
        <v>3.8200000000000002E-4</v>
      </c>
      <c r="D134" s="42">
        <v>6.6</v>
      </c>
      <c r="E134" s="56">
        <f t="shared" si="8"/>
        <v>5.7878787878787884E-5</v>
      </c>
      <c r="F134" s="43">
        <v>270.3</v>
      </c>
      <c r="G134" s="56">
        <f t="shared" si="9"/>
        <v>3.168492628074661E-19</v>
      </c>
    </row>
    <row r="135" spans="1:30" s="31" customFormat="1" ht="19.8" customHeight="1" x14ac:dyDescent="0.3">
      <c r="A135" s="14">
        <f t="shared" si="7"/>
        <v>134</v>
      </c>
      <c r="B135" s="62">
        <v>1</v>
      </c>
      <c r="C135" s="15">
        <f t="shared" si="10"/>
        <v>3.8200000000000002E-4</v>
      </c>
      <c r="D135" s="42">
        <v>8.32</v>
      </c>
      <c r="E135" s="56">
        <f t="shared" si="8"/>
        <v>4.5913461538461542E-5</v>
      </c>
      <c r="F135" s="43">
        <v>208.7</v>
      </c>
      <c r="G135" s="56">
        <f t="shared" si="9"/>
        <v>2.8993938376588539E-19</v>
      </c>
    </row>
    <row r="136" spans="1:30" s="31" customFormat="1" ht="19.8" customHeight="1" x14ac:dyDescent="0.3">
      <c r="A136" s="14">
        <f t="shared" si="7"/>
        <v>135</v>
      </c>
      <c r="B136" s="62">
        <v>1</v>
      </c>
      <c r="C136" s="15">
        <f t="shared" si="10"/>
        <v>3.8200000000000002E-4</v>
      </c>
      <c r="D136" s="42">
        <v>11</v>
      </c>
      <c r="E136" s="56">
        <f t="shared" si="8"/>
        <v>3.4727272727272726E-5</v>
      </c>
      <c r="F136" s="43">
        <v>247.8</v>
      </c>
      <c r="G136" s="56">
        <f t="shared" si="9"/>
        <v>1.6062913485012852E-19</v>
      </c>
    </row>
    <row r="137" spans="1:30" s="31" customFormat="1" ht="19.8" customHeight="1" x14ac:dyDescent="0.3">
      <c r="A137" s="14">
        <f t="shared" si="7"/>
        <v>136</v>
      </c>
      <c r="B137" s="62">
        <v>1</v>
      </c>
      <c r="C137" s="15">
        <f t="shared" si="10"/>
        <v>3.8200000000000002E-4</v>
      </c>
      <c r="D137" s="42">
        <v>4.3499999999999996</v>
      </c>
      <c r="E137" s="56">
        <f t="shared" si="8"/>
        <v>8.7816091954022997E-5</v>
      </c>
      <c r="F137" s="43">
        <v>241.2</v>
      </c>
      <c r="G137" s="56">
        <f t="shared" si="9"/>
        <v>6.6359554403927559E-19</v>
      </c>
    </row>
    <row r="138" spans="1:30" s="31" customFormat="1" ht="19.8" customHeight="1" x14ac:dyDescent="0.3">
      <c r="A138" s="14">
        <f t="shared" si="7"/>
        <v>137</v>
      </c>
      <c r="B138" s="62">
        <v>1</v>
      </c>
      <c r="C138" s="15">
        <f t="shared" si="10"/>
        <v>3.8200000000000002E-4</v>
      </c>
      <c r="D138" s="42">
        <v>6.4</v>
      </c>
      <c r="E138" s="56">
        <f t="shared" si="8"/>
        <v>5.9687500000000001E-5</v>
      </c>
      <c r="F138" s="43">
        <v>250.3</v>
      </c>
      <c r="G138" s="56">
        <f t="shared" si="9"/>
        <v>3.5833055270918245E-19</v>
      </c>
    </row>
    <row r="139" spans="1:30" s="31" customFormat="1" ht="19.8" customHeight="1" x14ac:dyDescent="0.3">
      <c r="A139" s="14">
        <f t="shared" si="7"/>
        <v>138</v>
      </c>
      <c r="B139" s="62">
        <v>1</v>
      </c>
      <c r="C139" s="15">
        <f t="shared" si="10"/>
        <v>3.8200000000000002E-4</v>
      </c>
      <c r="D139" s="42">
        <v>9.31</v>
      </c>
      <c r="E139" s="56">
        <f t="shared" si="8"/>
        <v>4.1031149301825996E-5</v>
      </c>
      <c r="F139" s="43">
        <v>350.9</v>
      </c>
      <c r="G139" s="56">
        <f t="shared" si="9"/>
        <v>1.4568229025712554E-19</v>
      </c>
    </row>
    <row r="140" spans="1:30" s="31" customFormat="1" ht="19.8" customHeight="1" x14ac:dyDescent="0.3">
      <c r="A140" s="14">
        <f t="shared" si="7"/>
        <v>139</v>
      </c>
      <c r="B140" s="62">
        <v>1</v>
      </c>
      <c r="C140" s="15">
        <f t="shared" si="10"/>
        <v>3.8200000000000002E-4</v>
      </c>
      <c r="D140" s="42">
        <v>5.7</v>
      </c>
      <c r="E140" s="56">
        <f t="shared" si="8"/>
        <v>6.7017543859649128E-5</v>
      </c>
      <c r="F140" s="43">
        <v>225.3</v>
      </c>
      <c r="G140" s="56">
        <f t="shared" si="9"/>
        <v>4.7363215033775086E-19</v>
      </c>
    </row>
    <row r="141" spans="1:30" s="31" customFormat="1" ht="19.8" customHeight="1" x14ac:dyDescent="0.3">
      <c r="A141" s="14">
        <f t="shared" si="7"/>
        <v>140</v>
      </c>
      <c r="B141" s="62">
        <v>1</v>
      </c>
      <c r="C141" s="15">
        <f t="shared" si="10"/>
        <v>3.8200000000000002E-4</v>
      </c>
      <c r="D141" s="42">
        <v>10</v>
      </c>
      <c r="E141" s="56">
        <f t="shared" si="8"/>
        <v>3.82E-5</v>
      </c>
      <c r="F141" s="43">
        <v>210.6</v>
      </c>
      <c r="G141" s="56">
        <f t="shared" si="9"/>
        <v>2.1805009648467017E-19</v>
      </c>
    </row>
    <row r="142" spans="1:30" s="31" customFormat="1" ht="19.8" customHeight="1" x14ac:dyDescent="0.3">
      <c r="A142" s="14">
        <f t="shared" si="7"/>
        <v>141</v>
      </c>
      <c r="B142" s="62">
        <v>1</v>
      </c>
      <c r="C142" s="15">
        <f t="shared" si="10"/>
        <v>3.8200000000000002E-4</v>
      </c>
      <c r="D142" s="42">
        <v>9.3000000000000007</v>
      </c>
      <c r="E142" s="56">
        <f t="shared" si="8"/>
        <v>4.1075268817204298E-5</v>
      </c>
      <c r="F142" s="43">
        <v>140.6</v>
      </c>
      <c r="G142" s="56">
        <f t="shared" si="9"/>
        <v>3.6417062082849997E-19</v>
      </c>
    </row>
    <row r="143" spans="1:30" s="2" customFormat="1" ht="19.8" customHeight="1" x14ac:dyDescent="0.3">
      <c r="A143" s="14">
        <f t="shared" si="7"/>
        <v>142</v>
      </c>
      <c r="B143" s="62">
        <v>1</v>
      </c>
      <c r="C143" s="15">
        <f t="shared" si="10"/>
        <v>3.8200000000000002E-4</v>
      </c>
      <c r="D143" s="42">
        <v>10</v>
      </c>
      <c r="E143" s="56">
        <f t="shared" si="8"/>
        <v>3.82E-5</v>
      </c>
      <c r="F143" s="43">
        <v>164.2</v>
      </c>
      <c r="G143" s="52">
        <f t="shared" si="9"/>
        <v>2.796671761246744E-19</v>
      </c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57"/>
    </row>
    <row r="144" spans="1:30" s="2" customFormat="1" ht="19.8" customHeight="1" x14ac:dyDescent="0.3">
      <c r="A144" s="14">
        <f t="shared" si="7"/>
        <v>143</v>
      </c>
      <c r="B144" s="62">
        <v>1</v>
      </c>
      <c r="C144" s="15">
        <f t="shared" si="10"/>
        <v>3.8200000000000002E-4</v>
      </c>
      <c r="D144" s="42">
        <v>6.46</v>
      </c>
      <c r="E144" s="56">
        <f t="shared" si="8"/>
        <v>5.9133126934984521E-5</v>
      </c>
      <c r="F144" s="43">
        <v>321.2</v>
      </c>
      <c r="G144" s="52">
        <f t="shared" si="9"/>
        <v>2.7535333216694829E-19</v>
      </c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57"/>
    </row>
    <row r="145" spans="1:30" s="2" customFormat="1" ht="19.8" customHeight="1" x14ac:dyDescent="0.3">
      <c r="A145" s="14">
        <f t="shared" si="7"/>
        <v>144</v>
      </c>
      <c r="B145" s="62">
        <v>1</v>
      </c>
      <c r="C145" s="15">
        <f t="shared" si="10"/>
        <v>3.8200000000000002E-4</v>
      </c>
      <c r="D145" s="42">
        <v>8</v>
      </c>
      <c r="E145" s="56">
        <f t="shared" si="8"/>
        <v>4.7750000000000002E-5</v>
      </c>
      <c r="F145" s="43">
        <v>210.4</v>
      </c>
      <c r="G145" s="52">
        <f t="shared" si="9"/>
        <v>3.0502394526309194E-19</v>
      </c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57"/>
    </row>
    <row r="146" spans="1:30" s="2" customFormat="1" ht="19.8" customHeight="1" x14ac:dyDescent="0.3">
      <c r="A146" s="14">
        <f t="shared" si="7"/>
        <v>145</v>
      </c>
      <c r="B146" s="62">
        <v>1</v>
      </c>
      <c r="C146" s="15">
        <f t="shared" si="10"/>
        <v>3.8200000000000002E-4</v>
      </c>
      <c r="D146" s="42">
        <v>4.5</v>
      </c>
      <c r="E146" s="56">
        <f t="shared" si="8"/>
        <v>8.4888888888888891E-5</v>
      </c>
      <c r="F146" s="43">
        <v>326.39999999999998</v>
      </c>
      <c r="G146" s="52">
        <f t="shared" si="9"/>
        <v>4.6606418361187064E-19</v>
      </c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57"/>
    </row>
    <row r="147" spans="1:30" s="31" customFormat="1" ht="19.8" customHeight="1" x14ac:dyDescent="0.3">
      <c r="A147" s="14">
        <f t="shared" si="7"/>
        <v>146</v>
      </c>
      <c r="B147" s="62">
        <v>1</v>
      </c>
      <c r="C147" s="15">
        <f t="shared" si="10"/>
        <v>3.8200000000000002E-4</v>
      </c>
      <c r="D147" s="42">
        <v>3.85</v>
      </c>
      <c r="E147" s="56">
        <f t="shared" si="8"/>
        <v>9.9220779220779225E-5</v>
      </c>
      <c r="F147" s="43">
        <v>298.7</v>
      </c>
      <c r="G147" s="56">
        <f t="shared" si="9"/>
        <v>6.4355894811100184E-19</v>
      </c>
    </row>
    <row r="148" spans="1:30" s="31" customFormat="1" ht="19.8" customHeight="1" x14ac:dyDescent="0.3">
      <c r="A148" s="14">
        <f t="shared" si="7"/>
        <v>147</v>
      </c>
      <c r="B148" s="62">
        <v>1</v>
      </c>
      <c r="C148" s="15">
        <f t="shared" si="10"/>
        <v>3.8200000000000002E-4</v>
      </c>
      <c r="D148" s="42">
        <v>3.3</v>
      </c>
      <c r="E148" s="56">
        <f t="shared" si="8"/>
        <v>1.1575757575757577E-4</v>
      </c>
      <c r="F148" s="43">
        <v>222.4</v>
      </c>
      <c r="G148" s="56">
        <f t="shared" si="9"/>
        <v>1.0892033221562125E-18</v>
      </c>
    </row>
    <row r="149" spans="1:30" s="31" customFormat="1" ht="19.8" customHeight="1" x14ac:dyDescent="0.3">
      <c r="A149" s="14">
        <f t="shared" si="7"/>
        <v>148</v>
      </c>
      <c r="B149" s="62">
        <v>1</v>
      </c>
      <c r="C149" s="15">
        <f t="shared" si="10"/>
        <v>3.8200000000000002E-4</v>
      </c>
      <c r="D149" s="42">
        <v>3.81</v>
      </c>
      <c r="E149" s="56">
        <f t="shared" si="8"/>
        <v>1.0026246719160105E-4</v>
      </c>
      <c r="F149" s="43">
        <v>183.2</v>
      </c>
      <c r="G149" s="56">
        <f t="shared" si="9"/>
        <v>1.0658638115243007E-18</v>
      </c>
    </row>
    <row r="150" spans="1:30" s="31" customFormat="1" ht="19.8" customHeight="1" x14ac:dyDescent="0.3">
      <c r="A150" s="14">
        <f t="shared" si="7"/>
        <v>149</v>
      </c>
      <c r="B150" s="62">
        <v>1</v>
      </c>
      <c r="C150" s="15">
        <f t="shared" si="10"/>
        <v>3.8200000000000002E-4</v>
      </c>
      <c r="D150" s="42">
        <v>4.3</v>
      </c>
      <c r="E150" s="56">
        <f t="shared" si="8"/>
        <v>8.8837209302325583E-5</v>
      </c>
      <c r="F150" s="43">
        <v>168.9</v>
      </c>
      <c r="G150" s="56">
        <f t="shared" si="9"/>
        <v>9.6423372457799757E-19</v>
      </c>
    </row>
    <row r="151" spans="1:30" s="30" customFormat="1" ht="19.8" customHeight="1" thickBot="1" x14ac:dyDescent="0.35">
      <c r="A151" s="41">
        <f t="shared" si="7"/>
        <v>150</v>
      </c>
      <c r="B151" s="63">
        <v>1</v>
      </c>
      <c r="C151" s="35">
        <f t="shared" si="10"/>
        <v>3.8200000000000002E-4</v>
      </c>
      <c r="D151" s="42">
        <v>7.4</v>
      </c>
      <c r="E151" s="36">
        <f t="shared" si="8"/>
        <v>5.1621621621621621E-5</v>
      </c>
      <c r="F151" s="43">
        <v>155.5</v>
      </c>
      <c r="G151" s="36">
        <f t="shared" si="9"/>
        <v>4.6391314352911694E-19</v>
      </c>
    </row>
    <row r="152" spans="1:30" ht="19.8" customHeight="1" x14ac:dyDescent="0.3">
      <c r="A152" s="31"/>
    </row>
    <row r="153" spans="1:30" ht="19.8" customHeight="1" x14ac:dyDescent="0.3">
      <c r="A153" s="3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</vt:lpstr>
      <vt:lpstr>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2025-03-14T01:38:59Z</dcterms:created>
  <dcterms:modified xsi:type="dcterms:W3CDTF">2026-03-23T01:59:54Z</dcterms:modified>
</cp:coreProperties>
</file>