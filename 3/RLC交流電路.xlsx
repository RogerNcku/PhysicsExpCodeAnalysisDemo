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凱翔淵\彭靖翔\成功大學\成大電機\課程\大一下\普物實驗二\普物實驗程式輔助分析\3\"/>
    </mc:Choice>
  </mc:AlternateContent>
  <bookViews>
    <workbookView xWindow="-108" yWindow="-108" windowWidth="23256" windowHeight="13896" activeTab="1"/>
  </bookViews>
  <sheets>
    <sheet name="阻尼震盪" sheetId="1" r:id="rId1"/>
    <sheet name="RLC 交流電路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1" l="1"/>
  <c r="C11" i="1"/>
  <c r="I4" i="3"/>
  <c r="I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K8" i="3" l="1"/>
  <c r="G4" i="3" s="1"/>
  <c r="I8" i="3"/>
  <c r="G8" i="3"/>
  <c r="G3" i="3" l="1"/>
  <c r="K3" i="3" s="1"/>
  <c r="K4" i="3"/>
  <c r="G2" i="3"/>
  <c r="K2" i="3" s="1"/>
  <c r="I1" i="1"/>
  <c r="K11" i="1" l="1"/>
  <c r="G10" i="1"/>
  <c r="K10" i="1"/>
  <c r="G9" i="1"/>
  <c r="C10" i="1"/>
</calcChain>
</file>

<file path=xl/sharedStrings.xml><?xml version="1.0" encoding="utf-8"?>
<sst xmlns="http://schemas.openxmlformats.org/spreadsheetml/2006/main" count="72" uniqueCount="50">
  <si>
    <t>電感L (mH) =</t>
    <phoneticPr fontId="1" type="noConversion"/>
  </si>
  <si>
    <t>電容C (µF) =</t>
    <phoneticPr fontId="1" type="noConversion"/>
  </si>
  <si>
    <t>(照片)</t>
    <phoneticPr fontId="1" type="noConversion"/>
  </si>
  <si>
    <r>
      <t>R</t>
    </r>
    <r>
      <rPr>
        <vertAlign val="subscript"/>
        <sz val="12"/>
        <color theme="1"/>
        <rFont val="標楷體"/>
        <family val="4"/>
        <charset val="136"/>
      </rPr>
      <t>total</t>
    </r>
    <r>
      <rPr>
        <sz val="12"/>
        <color theme="1"/>
        <rFont val="標楷體"/>
        <family val="4"/>
        <charset val="136"/>
      </rPr>
      <t xml:space="preserve"> (Ω) =</t>
    </r>
    <phoneticPr fontId="1" type="noConversion"/>
  </si>
  <si>
    <r>
      <t>R</t>
    </r>
    <r>
      <rPr>
        <vertAlign val="subscript"/>
        <sz val="12"/>
        <color theme="1"/>
        <rFont val="標楷體"/>
        <family val="4"/>
        <charset val="136"/>
      </rPr>
      <t>total</t>
    </r>
    <r>
      <rPr>
        <sz val="12"/>
        <color theme="1"/>
        <rFont val="標楷體"/>
        <family val="4"/>
        <charset val="136"/>
      </rPr>
      <t xml:space="preserve"> = 2(L/C)</t>
    </r>
    <r>
      <rPr>
        <vertAlign val="superscript"/>
        <sz val="12"/>
        <color theme="1"/>
        <rFont val="標楷體"/>
        <family val="4"/>
        <charset val="136"/>
      </rPr>
      <t>1/2</t>
    </r>
    <r>
      <rPr>
        <sz val="12"/>
        <color theme="1"/>
        <rFont val="標楷體"/>
        <family val="4"/>
        <charset val="136"/>
      </rPr>
      <t>是否成立</t>
    </r>
    <phoneticPr fontId="1" type="noConversion"/>
  </si>
  <si>
    <r>
      <t>R</t>
    </r>
    <r>
      <rPr>
        <vertAlign val="subscript"/>
        <sz val="12"/>
        <color theme="1"/>
        <rFont val="標楷體"/>
        <family val="4"/>
        <charset val="136"/>
      </rPr>
      <t>total</t>
    </r>
    <r>
      <rPr>
        <sz val="12"/>
        <color theme="1"/>
        <rFont val="標楷體"/>
        <family val="4"/>
        <charset val="136"/>
      </rPr>
      <t xml:space="preserve"> &gt; 2(L/C)</t>
    </r>
    <r>
      <rPr>
        <vertAlign val="superscript"/>
        <sz val="12"/>
        <color theme="1"/>
        <rFont val="標楷體"/>
        <family val="4"/>
        <charset val="136"/>
      </rPr>
      <t>1/2</t>
    </r>
    <r>
      <rPr>
        <sz val="12"/>
        <color theme="1"/>
        <rFont val="標楷體"/>
        <family val="4"/>
        <charset val="136"/>
      </rPr>
      <t>是否成立</t>
    </r>
    <phoneticPr fontId="1" type="noConversion"/>
  </si>
  <si>
    <r>
      <t>產生器輸出頻率(H</t>
    </r>
    <r>
      <rPr>
        <vertAlign val="subscript"/>
        <sz val="12"/>
        <color theme="1"/>
        <rFont val="標楷體"/>
        <family val="4"/>
        <charset val="136"/>
      </rPr>
      <t>z</t>
    </r>
    <r>
      <rPr>
        <sz val="12"/>
        <color theme="1"/>
        <rFont val="標楷體"/>
        <family val="4"/>
        <charset val="136"/>
      </rPr>
      <t>)=</t>
    </r>
    <phoneticPr fontId="1" type="noConversion"/>
  </si>
  <si>
    <r>
      <t>2(L/C)</t>
    </r>
    <r>
      <rPr>
        <vertAlign val="superscript"/>
        <sz val="12"/>
        <color theme="1"/>
        <rFont val="標楷體"/>
        <family val="4"/>
        <charset val="136"/>
      </rPr>
      <t xml:space="preserve">1/2 </t>
    </r>
    <r>
      <rPr>
        <sz val="12"/>
        <color theme="1"/>
        <rFont val="標楷體"/>
        <family val="4"/>
        <charset val="136"/>
      </rPr>
      <t xml:space="preserve">(Ω) = </t>
    </r>
    <phoneticPr fontId="1" type="noConversion"/>
  </si>
  <si>
    <t>是</t>
  </si>
  <si>
    <t>underdamping</t>
    <phoneticPr fontId="1" type="noConversion"/>
  </si>
  <si>
    <r>
      <t>R</t>
    </r>
    <r>
      <rPr>
        <vertAlign val="subscript"/>
        <sz val="12"/>
        <color theme="1"/>
        <rFont val="標楷體"/>
        <family val="4"/>
        <charset val="136"/>
      </rPr>
      <t>total</t>
    </r>
    <r>
      <rPr>
        <sz val="12"/>
        <color theme="1"/>
        <rFont val="標楷體"/>
        <family val="4"/>
        <charset val="136"/>
      </rPr>
      <t xml:space="preserve"> &lt; 2(L/C)</t>
    </r>
    <r>
      <rPr>
        <vertAlign val="superscript"/>
        <sz val="12"/>
        <color theme="1"/>
        <rFont val="標楷體"/>
        <family val="4"/>
        <charset val="136"/>
      </rPr>
      <t>1/2</t>
    </r>
    <r>
      <rPr>
        <sz val="12"/>
        <color theme="1"/>
        <rFont val="標楷體"/>
        <family val="4"/>
        <charset val="136"/>
      </rPr>
      <t>是否成立</t>
    </r>
    <phoneticPr fontId="1" type="noConversion"/>
  </si>
  <si>
    <t>critical damping</t>
    <phoneticPr fontId="1" type="noConversion"/>
  </si>
  <si>
    <t>overdamping</t>
    <phoneticPr fontId="1" type="noConversion"/>
  </si>
  <si>
    <r>
      <t>R</t>
    </r>
    <r>
      <rPr>
        <vertAlign val="subscript"/>
        <sz val="12"/>
        <color theme="1"/>
        <rFont val="標楷體"/>
        <family val="4"/>
        <charset val="136"/>
      </rPr>
      <t xml:space="preserve">under </t>
    </r>
    <r>
      <rPr>
        <sz val="12"/>
        <color theme="1"/>
        <rFont val="標楷體"/>
        <family val="4"/>
        <charset val="136"/>
      </rPr>
      <t>(</t>
    </r>
    <r>
      <rPr>
        <sz val="12"/>
        <color theme="1"/>
        <rFont val="Calibri"/>
        <family val="4"/>
        <charset val="161"/>
      </rPr>
      <t>Ω</t>
    </r>
    <r>
      <rPr>
        <sz val="12"/>
        <color theme="1"/>
        <rFont val="標楷體"/>
        <family val="4"/>
        <charset val="136"/>
      </rPr>
      <t>) =</t>
    </r>
    <phoneticPr fontId="1" type="noConversion"/>
  </si>
  <si>
    <r>
      <t>R</t>
    </r>
    <r>
      <rPr>
        <vertAlign val="subscript"/>
        <sz val="12"/>
        <color theme="1"/>
        <rFont val="標楷體"/>
        <family val="4"/>
        <charset val="136"/>
      </rPr>
      <t xml:space="preserve">criti </t>
    </r>
    <r>
      <rPr>
        <sz val="12"/>
        <color theme="1"/>
        <rFont val="標楷體"/>
        <family val="4"/>
        <charset val="136"/>
      </rPr>
      <t>(</t>
    </r>
    <r>
      <rPr>
        <sz val="12"/>
        <color theme="1"/>
        <rFont val="Calibri"/>
        <family val="4"/>
        <charset val="161"/>
      </rPr>
      <t>Ω</t>
    </r>
    <r>
      <rPr>
        <sz val="12"/>
        <color theme="1"/>
        <rFont val="標楷體"/>
        <family val="4"/>
        <charset val="136"/>
      </rPr>
      <t>) =</t>
    </r>
    <phoneticPr fontId="1" type="noConversion"/>
  </si>
  <si>
    <r>
      <t>R</t>
    </r>
    <r>
      <rPr>
        <vertAlign val="subscript"/>
        <sz val="12"/>
        <color theme="1"/>
        <rFont val="標楷體"/>
        <family val="4"/>
        <charset val="136"/>
      </rPr>
      <t>over</t>
    </r>
    <r>
      <rPr>
        <sz val="12"/>
        <color theme="1"/>
        <rFont val="標楷體"/>
        <family val="4"/>
        <charset val="136"/>
      </rPr>
      <t xml:space="preserve"> (</t>
    </r>
    <r>
      <rPr>
        <sz val="12"/>
        <color theme="1"/>
        <rFont val="Calibri"/>
        <family val="4"/>
        <charset val="161"/>
      </rPr>
      <t>Ω</t>
    </r>
    <r>
      <rPr>
        <sz val="12"/>
        <color theme="1"/>
        <rFont val="標楷體"/>
        <family val="4"/>
        <charset val="136"/>
      </rPr>
      <t>) =</t>
    </r>
    <phoneticPr fontId="1" type="noConversion"/>
  </si>
  <si>
    <r>
      <t>V</t>
    </r>
    <r>
      <rPr>
        <vertAlign val="subscript"/>
        <sz val="12"/>
        <color theme="1"/>
        <rFont val="標楷體"/>
        <family val="4"/>
        <charset val="136"/>
      </rPr>
      <t>R1k</t>
    </r>
    <r>
      <rPr>
        <vertAlign val="subscript"/>
        <sz val="12"/>
        <color theme="1"/>
        <rFont val="Calibri"/>
        <family val="4"/>
        <charset val="161"/>
      </rPr>
      <t>Ω</t>
    </r>
    <r>
      <rPr>
        <sz val="12"/>
        <color theme="1"/>
        <rFont val="標楷體"/>
        <family val="4"/>
        <charset val="136"/>
      </rPr>
      <t>(V)</t>
    </r>
    <phoneticPr fontId="1" type="noConversion"/>
  </si>
  <si>
    <r>
      <t>V</t>
    </r>
    <r>
      <rPr>
        <vertAlign val="subscript"/>
        <sz val="12"/>
        <color theme="1"/>
        <rFont val="標楷體"/>
        <family val="4"/>
        <charset val="136"/>
      </rPr>
      <t>R2k</t>
    </r>
    <r>
      <rPr>
        <vertAlign val="subscript"/>
        <sz val="12"/>
        <color theme="1"/>
        <rFont val="Calibri"/>
        <family val="4"/>
        <charset val="161"/>
      </rPr>
      <t>Ω</t>
    </r>
    <r>
      <rPr>
        <sz val="12"/>
        <color theme="1"/>
        <rFont val="標楷體"/>
        <family val="4"/>
        <charset val="136"/>
      </rPr>
      <t>(V)</t>
    </r>
    <phoneticPr fontId="1" type="noConversion"/>
  </si>
  <si>
    <r>
      <t>V</t>
    </r>
    <r>
      <rPr>
        <vertAlign val="subscript"/>
        <sz val="12"/>
        <color theme="1"/>
        <rFont val="標楷體"/>
        <family val="4"/>
        <charset val="136"/>
      </rPr>
      <t>R4k</t>
    </r>
    <r>
      <rPr>
        <vertAlign val="subscript"/>
        <sz val="12"/>
        <color theme="1"/>
        <rFont val="Calibri"/>
        <family val="4"/>
        <charset val="161"/>
      </rPr>
      <t>Ω</t>
    </r>
    <r>
      <rPr>
        <sz val="12"/>
        <color theme="1"/>
        <rFont val="標楷體"/>
        <family val="4"/>
        <charset val="136"/>
      </rPr>
      <t>(V)</t>
    </r>
    <phoneticPr fontId="1" type="noConversion"/>
  </si>
  <si>
    <t>百分誤差 (%)</t>
    <phoneticPr fontId="1" type="noConversion"/>
  </si>
  <si>
    <r>
      <t>Δω</t>
    </r>
    <r>
      <rPr>
        <vertAlign val="subscript"/>
        <sz val="12"/>
        <color theme="1"/>
        <rFont val="標楷體"/>
        <family val="4"/>
        <charset val="136"/>
      </rPr>
      <t>2kΩ</t>
    </r>
    <phoneticPr fontId="1" type="noConversion"/>
  </si>
  <si>
    <r>
      <t>Δω</t>
    </r>
    <r>
      <rPr>
        <vertAlign val="subscript"/>
        <sz val="12"/>
        <color theme="1"/>
        <rFont val="標楷體"/>
        <family val="4"/>
        <charset val="136"/>
      </rPr>
      <t>4kΩ</t>
    </r>
    <phoneticPr fontId="1" type="noConversion"/>
  </si>
  <si>
    <t>頻寬實驗值計算</t>
    <phoneticPr fontId="1" type="noConversion"/>
  </si>
  <si>
    <t>內插法計算：</t>
    <phoneticPr fontId="1" type="noConversion"/>
  </si>
  <si>
    <r>
      <t>V</t>
    </r>
    <r>
      <rPr>
        <vertAlign val="subscript"/>
        <sz val="12"/>
        <color theme="1"/>
        <rFont val="標楷體"/>
        <family val="4"/>
        <charset val="136"/>
      </rPr>
      <t>p</t>
    </r>
    <r>
      <rPr>
        <sz val="12"/>
        <color theme="1"/>
        <rFont val="標楷體"/>
        <family val="4"/>
        <charset val="136"/>
      </rPr>
      <t xml:space="preserve"> = </t>
    </r>
    <phoneticPr fontId="1" type="noConversion"/>
  </si>
  <si>
    <r>
      <t>V</t>
    </r>
    <r>
      <rPr>
        <vertAlign val="subscript"/>
        <sz val="12"/>
        <color theme="1"/>
        <rFont val="標楷體"/>
        <family val="4"/>
        <charset val="136"/>
      </rPr>
      <t>p</t>
    </r>
    <r>
      <rPr>
        <sz val="12"/>
        <color theme="1"/>
        <rFont val="標楷體"/>
        <family val="4"/>
        <charset val="136"/>
      </rPr>
      <t xml:space="preserve"> = </t>
    </r>
    <phoneticPr fontId="1" type="noConversion"/>
  </si>
  <si>
    <r>
      <t>V</t>
    </r>
    <r>
      <rPr>
        <vertAlign val="subscript"/>
        <sz val="12"/>
        <color theme="1"/>
        <rFont val="標楷體"/>
        <family val="4"/>
        <charset val="136"/>
      </rPr>
      <t>p</t>
    </r>
    <r>
      <rPr>
        <sz val="12"/>
        <color theme="1"/>
        <rFont val="標楷體"/>
        <family val="4"/>
        <charset val="136"/>
      </rPr>
      <t>/2</t>
    </r>
    <r>
      <rPr>
        <vertAlign val="superscript"/>
        <sz val="12"/>
        <color theme="1"/>
        <rFont val="標楷體"/>
        <family val="4"/>
        <charset val="136"/>
      </rPr>
      <t>1/2</t>
    </r>
    <r>
      <rPr>
        <sz val="12"/>
        <color theme="1"/>
        <rFont val="標楷體"/>
        <family val="4"/>
        <charset val="136"/>
      </rPr>
      <t xml:space="preserve">= </t>
    </r>
    <phoneticPr fontId="1" type="noConversion"/>
  </si>
  <si>
    <r>
      <t>Δω</t>
    </r>
    <r>
      <rPr>
        <vertAlign val="subscript"/>
        <sz val="12"/>
        <color theme="1"/>
        <rFont val="標楷體"/>
        <family val="4"/>
        <charset val="136"/>
      </rPr>
      <t>1kΩ</t>
    </r>
    <phoneticPr fontId="1" type="noConversion"/>
  </si>
  <si>
    <t>頻率1</t>
    <phoneticPr fontId="1" type="noConversion"/>
  </si>
  <si>
    <t>頻率2</t>
    <phoneticPr fontId="1" type="noConversion"/>
  </si>
  <si>
    <t>頻率1</t>
    <phoneticPr fontId="1" type="noConversion"/>
  </si>
  <si>
    <t>V1</t>
    <phoneticPr fontId="1" type="noConversion"/>
  </si>
  <si>
    <t>V2</t>
    <phoneticPr fontId="1" type="noConversion"/>
  </si>
  <si>
    <t>頻率3</t>
    <phoneticPr fontId="1" type="noConversion"/>
  </si>
  <si>
    <t>頻率4</t>
    <phoneticPr fontId="1" type="noConversion"/>
  </si>
  <si>
    <t>V3</t>
    <phoneticPr fontId="1" type="noConversion"/>
  </si>
  <si>
    <t>V4</t>
    <phoneticPr fontId="1" type="noConversion"/>
  </si>
  <si>
    <t>V4</t>
    <phoneticPr fontId="1" type="noConversion"/>
  </si>
  <si>
    <t>電感L (mH) =</t>
    <phoneticPr fontId="1" type="noConversion"/>
  </si>
  <si>
    <t>log(f)Hz</t>
    <phoneticPr fontId="1" type="noConversion"/>
  </si>
  <si>
    <r>
      <rPr>
        <sz val="12"/>
        <color rgb="FFFF0000"/>
        <rFont val="標楷體"/>
        <family val="4"/>
        <charset val="136"/>
      </rPr>
      <t>*</t>
    </r>
    <r>
      <rPr>
        <sz val="12"/>
        <color theme="1"/>
        <rFont val="標楷體"/>
        <family val="4"/>
        <charset val="136"/>
      </rPr>
      <t>Vp/2</t>
    </r>
    <r>
      <rPr>
        <vertAlign val="superscript"/>
        <sz val="12"/>
        <color theme="1"/>
        <rFont val="標楷體"/>
        <family val="4"/>
        <charset val="136"/>
      </rPr>
      <t>1/2</t>
    </r>
    <r>
      <rPr>
        <sz val="12"/>
        <color theme="1"/>
        <rFont val="標楷體"/>
        <family val="4"/>
        <charset val="136"/>
      </rPr>
      <t>的值對到左方的表，找到最接近此值的四個V值及其f值。</t>
    </r>
    <phoneticPr fontId="1" type="noConversion"/>
  </si>
  <si>
    <t>f(kHz)</t>
    <phoneticPr fontId="1" type="noConversion"/>
  </si>
  <si>
    <r>
      <rPr>
        <sz val="12"/>
        <color theme="1"/>
        <rFont val="Calibri"/>
        <family val="4"/>
        <charset val="161"/>
      </rPr>
      <t>Δω</t>
    </r>
    <r>
      <rPr>
        <vertAlign val="subscript"/>
        <sz val="12"/>
        <color theme="1"/>
        <rFont val="標楷體"/>
        <family val="4"/>
        <charset val="136"/>
      </rPr>
      <t>1k</t>
    </r>
    <r>
      <rPr>
        <vertAlign val="subscript"/>
        <sz val="12"/>
        <color theme="1"/>
        <rFont val="Calibri"/>
        <family val="4"/>
        <charset val="161"/>
      </rPr>
      <t>Ω</t>
    </r>
    <phoneticPr fontId="1" type="noConversion"/>
  </si>
  <si>
    <t>頻寬實驗值（rad/s）</t>
    <phoneticPr fontId="1" type="noConversion"/>
  </si>
  <si>
    <t>頻寬理論值（rad/s）</t>
    <phoneticPr fontId="1" type="noConversion"/>
  </si>
  <si>
    <t>百分誤差(%)</t>
    <phoneticPr fontId="1" type="noConversion"/>
  </si>
  <si>
    <r>
      <t>電感電阻R</t>
    </r>
    <r>
      <rPr>
        <vertAlign val="subscript"/>
        <sz val="12"/>
        <color theme="1"/>
        <rFont val="標楷體"/>
        <family val="4"/>
        <charset val="136"/>
      </rPr>
      <t xml:space="preserve">L </t>
    </r>
    <r>
      <rPr>
        <sz val="12"/>
        <color theme="1"/>
        <rFont val="標楷體"/>
        <family val="4"/>
        <charset val="136"/>
      </rPr>
      <t>(</t>
    </r>
    <r>
      <rPr>
        <sz val="12"/>
        <color theme="1"/>
        <rFont val="Calibri"/>
        <family val="4"/>
        <charset val="161"/>
      </rPr>
      <t>Ω</t>
    </r>
    <r>
      <rPr>
        <sz val="12"/>
        <color theme="1"/>
        <rFont val="標楷體"/>
        <family val="4"/>
        <charset val="136"/>
      </rPr>
      <t>) =</t>
    </r>
    <phoneticPr fontId="1" type="noConversion"/>
  </si>
  <si>
    <r>
      <rPr>
        <sz val="12"/>
        <color theme="1"/>
        <rFont val="Times New Roman"/>
        <family val="1"/>
      </rPr>
      <t>ꞷ</t>
    </r>
    <r>
      <rPr>
        <vertAlign val="subscript"/>
        <sz val="12"/>
        <color theme="1"/>
        <rFont val="Calibri"/>
        <family val="4"/>
        <charset val="161"/>
      </rPr>
      <t>γ</t>
    </r>
    <r>
      <rPr>
        <vertAlign val="subscript"/>
        <sz val="12"/>
        <color theme="1"/>
        <rFont val="標楷體"/>
        <family val="4"/>
        <charset val="136"/>
      </rPr>
      <t xml:space="preserve"> under </t>
    </r>
    <r>
      <rPr>
        <sz val="12"/>
        <color theme="1"/>
        <rFont val="標楷體"/>
        <family val="4"/>
        <charset val="136"/>
      </rPr>
      <t>(rad/</t>
    </r>
    <r>
      <rPr>
        <sz val="12"/>
        <color theme="1"/>
        <rFont val="Calibri"/>
        <family val="4"/>
      </rPr>
      <t>s</t>
    </r>
    <r>
      <rPr>
        <sz val="12"/>
        <color theme="1"/>
        <rFont val="標楷體"/>
        <family val="4"/>
        <charset val="136"/>
      </rPr>
      <t>) =</t>
    </r>
    <phoneticPr fontId="1" type="noConversion"/>
  </si>
  <si>
    <r>
      <rPr>
        <sz val="12"/>
        <color theme="1"/>
        <rFont val="Times New Roman"/>
        <family val="1"/>
      </rPr>
      <t>ꞷ</t>
    </r>
    <r>
      <rPr>
        <vertAlign val="subscript"/>
        <sz val="12"/>
        <color theme="1"/>
        <rFont val="Calibri"/>
        <family val="4"/>
        <charset val="161"/>
      </rPr>
      <t>γ</t>
    </r>
    <r>
      <rPr>
        <vertAlign val="subscript"/>
        <sz val="12"/>
        <color theme="1"/>
        <rFont val="標楷體"/>
        <family val="4"/>
        <charset val="136"/>
      </rPr>
      <t xml:space="preserve"> criti </t>
    </r>
    <r>
      <rPr>
        <sz val="12"/>
        <color theme="1"/>
        <rFont val="標楷體"/>
        <family val="4"/>
        <charset val="136"/>
      </rPr>
      <t>(rad/</t>
    </r>
    <r>
      <rPr>
        <sz val="12"/>
        <color theme="1"/>
        <rFont val="Calibri"/>
        <family val="4"/>
      </rPr>
      <t>s</t>
    </r>
    <r>
      <rPr>
        <sz val="12"/>
        <color theme="1"/>
        <rFont val="標楷體"/>
        <family val="4"/>
        <charset val="136"/>
      </rPr>
      <t>) =</t>
    </r>
    <phoneticPr fontId="1" type="noConversion"/>
  </si>
  <si>
    <r>
      <rPr>
        <sz val="12"/>
        <color theme="1"/>
        <rFont val="Times New Roman"/>
        <family val="1"/>
      </rPr>
      <t>ꞷ</t>
    </r>
    <r>
      <rPr>
        <vertAlign val="subscript"/>
        <sz val="12"/>
        <color theme="1"/>
        <rFont val="Calibri"/>
        <family val="4"/>
        <charset val="161"/>
      </rPr>
      <t>γ</t>
    </r>
    <r>
      <rPr>
        <vertAlign val="subscript"/>
        <sz val="12"/>
        <color theme="1"/>
        <rFont val="標楷體"/>
        <family val="4"/>
        <charset val="136"/>
      </rPr>
      <t xml:space="preserve"> over </t>
    </r>
    <r>
      <rPr>
        <sz val="12"/>
        <color theme="1"/>
        <rFont val="標楷體"/>
        <family val="4"/>
        <charset val="136"/>
      </rPr>
      <t>(rad/</t>
    </r>
    <r>
      <rPr>
        <sz val="12"/>
        <color theme="1"/>
        <rFont val="Calibri"/>
        <family val="4"/>
      </rPr>
      <t>s</t>
    </r>
    <r>
      <rPr>
        <sz val="12"/>
        <color theme="1"/>
        <rFont val="標楷體"/>
        <family val="4"/>
        <charset val="136"/>
      </rPr>
      <t>) =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</si>
</sst>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* #,##0.00_-;\-&quot;$&quot;* #,##0.00_-;_-&quot;$&quot;* &quot;-&quot;??_-;_-@_-"/>
    <numFmt numFmtId="176" formatCode="0.00_ "/>
    <numFmt numFmtId="177" formatCode="0.0000_ "/>
  </numFmts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vertAlign val="superscript"/>
      <sz val="12"/>
      <color theme="1"/>
      <name val="標楷體"/>
      <family val="4"/>
      <charset val="136"/>
    </font>
    <font>
      <vertAlign val="subscript"/>
      <sz val="12"/>
      <color theme="1"/>
      <name val="標楷體"/>
      <family val="4"/>
      <charset val="136"/>
    </font>
    <font>
      <sz val="12"/>
      <color theme="1"/>
      <name val="Calibri"/>
      <family val="4"/>
      <charset val="161"/>
    </font>
    <font>
      <vertAlign val="subscript"/>
      <sz val="12"/>
      <color theme="1"/>
      <name val="Calibri"/>
      <family val="4"/>
      <charset val="161"/>
    </font>
    <font>
      <sz val="12"/>
      <color theme="1"/>
      <name val="標楷體"/>
      <family val="4"/>
      <charset val="161"/>
    </font>
    <font>
      <sz val="12"/>
      <color rgb="FFFF0000"/>
      <name val="標楷體"/>
      <family val="4"/>
      <charset val="136"/>
    </font>
    <font>
      <sz val="12"/>
      <color theme="1"/>
      <name val="Times New Roman"/>
      <family val="1"/>
    </font>
    <font>
      <sz val="12"/>
      <color theme="1"/>
      <name val="Calibri"/>
      <family val="4"/>
    </font>
    <font>
      <sz val="12"/>
      <color theme="1"/>
      <name val="標楷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23" xfId="0" applyFont="1" applyFill="1" applyBorder="1" applyAlignment="1">
      <alignment vertical="center"/>
    </xf>
    <xf numFmtId="0" fontId="2" fillId="3" borderId="23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2" fillId="2" borderId="15" xfId="0" applyNumberFormat="1" applyFont="1" applyFill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77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2" fontId="2" fillId="4" borderId="15" xfId="0" applyNumberFormat="1" applyFont="1" applyFill="1" applyBorder="1" applyAlignment="1">
      <alignment horizontal="center" vertical="center"/>
    </xf>
    <xf numFmtId="2" fontId="2" fillId="5" borderId="15" xfId="0" applyNumberFormat="1" applyFont="1" applyFill="1" applyBorder="1" applyAlignment="1">
      <alignment horizontal="center" vertical="center"/>
    </xf>
    <xf numFmtId="2" fontId="2" fillId="3" borderId="15" xfId="0" applyNumberFormat="1" applyFont="1" applyFill="1" applyBorder="1" applyAlignment="1">
      <alignment horizontal="center" vertical="center"/>
    </xf>
    <xf numFmtId="2" fontId="2" fillId="6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right" vertical="center"/>
    </xf>
    <xf numFmtId="176" fontId="2" fillId="2" borderId="15" xfId="0" applyNumberFormat="1" applyFont="1" applyFill="1" applyBorder="1" applyAlignment="1">
      <alignment horizontal="center" vertical="center"/>
    </xf>
    <xf numFmtId="4" fontId="2" fillId="2" borderId="15" xfId="0" applyNumberFormat="1" applyFont="1" applyFill="1" applyBorder="1" applyAlignment="1">
      <alignment horizontal="center" vertical="center"/>
    </xf>
    <xf numFmtId="176" fontId="2" fillId="3" borderId="18" xfId="0" applyNumberFormat="1" applyFont="1" applyFill="1" applyBorder="1" applyAlignment="1">
      <alignment horizontal="left" vertical="center"/>
    </xf>
    <xf numFmtId="0" fontId="2" fillId="2" borderId="15" xfId="0" applyFont="1" applyFill="1" applyBorder="1" applyAlignment="1">
      <alignment vertical="center"/>
    </xf>
    <xf numFmtId="0" fontId="0" fillId="0" borderId="15" xfId="0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76" fontId="2" fillId="0" borderId="15" xfId="0" applyNumberFormat="1" applyFont="1" applyBorder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76" fontId="2" fillId="0" borderId="17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4" fontId="2" fillId="0" borderId="15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" fontId="2" fillId="0" borderId="15" xfId="0" applyNumberFormat="1" applyFont="1" applyBorder="1" applyAlignment="1">
      <alignment horizontal="center" vertical="center"/>
    </xf>
    <xf numFmtId="0" fontId="2" fillId="3" borderId="15" xfId="0" applyFont="1" applyFill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標楷體" panose="03000509000000000000" pitchFamily="65" charset="-120"/>
                <a:ea typeface="標楷體" panose="03000509000000000000" pitchFamily="65" charset="-120"/>
                <a:cs typeface="+mn-cs"/>
              </a:defRPr>
            </a:pPr>
            <a:r>
              <a:rPr lang="zh-TW" altLang="en-US" sz="14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對頻率取對數與伏特值的關係圖</a:t>
            </a:r>
            <a:endParaRPr lang="en-US" altLang="zh-TW">
              <a:latin typeface="標楷體" panose="03000509000000000000" pitchFamily="65" charset="-120"/>
              <a:ea typeface="標楷體" panose="03000509000000000000" pitchFamily="65" charset="-120"/>
            </a:endParaRPr>
          </a:p>
        </c:rich>
      </c:tx>
      <c:layout>
        <c:manualLayout>
          <c:xMode val="edge"/>
          <c:yMode val="edge"/>
          <c:x val="0.2633370474790161"/>
          <c:y val="5.28227877058241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標楷體" panose="03000509000000000000" pitchFamily="65" charset="-120"/>
              <a:ea typeface="標楷體" panose="03000509000000000000" pitchFamily="65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5182800987080972"/>
          <c:y val="0.17685171706054464"/>
          <c:w val="0.706902668416448"/>
          <c:h val="0.70182852143482066"/>
        </c:manualLayout>
      </c:layout>
      <c:scatterChart>
        <c:scatterStyle val="smoothMarker"/>
        <c:varyColors val="0"/>
        <c:ser>
          <c:idx val="1"/>
          <c:order val="0"/>
          <c:tx>
            <c:v>4kΩ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'RLC 交流電路'!$B$3:$B$22</c:f>
              <c:numCache>
                <c:formatCode>0.0000_ </c:formatCode>
                <c:ptCount val="20"/>
                <c:pt idx="0" formatCode="General">
                  <c:v>2</c:v>
                </c:pt>
                <c:pt idx="1">
                  <c:v>2.6020599913279625</c:v>
                </c:pt>
                <c:pt idx="2">
                  <c:v>2.7781512503836434</c:v>
                </c:pt>
                <c:pt idx="3">
                  <c:v>2.9030899869919438</c:v>
                </c:pt>
                <c:pt idx="4" formatCode="General">
                  <c:v>3</c:v>
                </c:pt>
                <c:pt idx="5">
                  <c:v>3.3010299956639813</c:v>
                </c:pt>
                <c:pt idx="6">
                  <c:v>3.4771212547196626</c:v>
                </c:pt>
                <c:pt idx="7">
                  <c:v>3.6020599913279625</c:v>
                </c:pt>
                <c:pt idx="8">
                  <c:v>3.6989700043360187</c:v>
                </c:pt>
                <c:pt idx="9">
                  <c:v>3.7781512503836434</c:v>
                </c:pt>
                <c:pt idx="10">
                  <c:v>3.8450980400142569</c:v>
                </c:pt>
                <c:pt idx="11">
                  <c:v>3.9030899869919438</c:v>
                </c:pt>
                <c:pt idx="12">
                  <c:v>3.9542425094393248</c:v>
                </c:pt>
                <c:pt idx="13" formatCode="General">
                  <c:v>4</c:v>
                </c:pt>
                <c:pt idx="14">
                  <c:v>4.3010299956639813</c:v>
                </c:pt>
                <c:pt idx="15">
                  <c:v>4.4771212547196626</c:v>
                </c:pt>
                <c:pt idx="16">
                  <c:v>4.6989700043360187</c:v>
                </c:pt>
                <c:pt idx="17">
                  <c:v>4.7781512503836439</c:v>
                </c:pt>
                <c:pt idx="18">
                  <c:v>4.9030899869919438</c:v>
                </c:pt>
                <c:pt idx="19" formatCode="General">
                  <c:v>5</c:v>
                </c:pt>
              </c:numCache>
            </c:numRef>
          </c:xVal>
          <c:yVal>
            <c:numRef>
              <c:f>'RLC 交流電路'!$E$3:$E$22</c:f>
              <c:numCache>
                <c:formatCode>0.00</c:formatCode>
                <c:ptCount val="20"/>
                <c:pt idx="0">
                  <c:v>0.7</c:v>
                </c:pt>
                <c:pt idx="1">
                  <c:v>1.96</c:v>
                </c:pt>
                <c:pt idx="2">
                  <c:v>2.82</c:v>
                </c:pt>
                <c:pt idx="3">
                  <c:v>3.3</c:v>
                </c:pt>
                <c:pt idx="4">
                  <c:v>3.74</c:v>
                </c:pt>
                <c:pt idx="5">
                  <c:v>4.5199999999999996</c:v>
                </c:pt>
                <c:pt idx="6">
                  <c:v>4.9800000000000004</c:v>
                </c:pt>
                <c:pt idx="7">
                  <c:v>5.04</c:v>
                </c:pt>
                <c:pt idx="8">
                  <c:v>5.12</c:v>
                </c:pt>
                <c:pt idx="9">
                  <c:v>5.2</c:v>
                </c:pt>
                <c:pt idx="10">
                  <c:v>5.18</c:v>
                </c:pt>
                <c:pt idx="11">
                  <c:v>5.18</c:v>
                </c:pt>
                <c:pt idx="12">
                  <c:v>5.22</c:v>
                </c:pt>
                <c:pt idx="13">
                  <c:v>5</c:v>
                </c:pt>
                <c:pt idx="14">
                  <c:v>4.4000000000000004</c:v>
                </c:pt>
                <c:pt idx="15">
                  <c:v>3.7</c:v>
                </c:pt>
                <c:pt idx="16">
                  <c:v>2.4</c:v>
                </c:pt>
                <c:pt idx="17">
                  <c:v>2.1</c:v>
                </c:pt>
                <c:pt idx="18">
                  <c:v>1.92</c:v>
                </c:pt>
                <c:pt idx="19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42-4ACC-B636-141E35D55853}"/>
            </c:ext>
          </c:extLst>
        </c:ser>
        <c:ser>
          <c:idx val="2"/>
          <c:order val="1"/>
          <c:tx>
            <c:v>2kΩ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'RLC 交流電路'!$B$3:$B$22</c:f>
              <c:numCache>
                <c:formatCode>0.0000_ </c:formatCode>
                <c:ptCount val="20"/>
                <c:pt idx="0" formatCode="General">
                  <c:v>2</c:v>
                </c:pt>
                <c:pt idx="1">
                  <c:v>2.6020599913279625</c:v>
                </c:pt>
                <c:pt idx="2">
                  <c:v>2.7781512503836434</c:v>
                </c:pt>
                <c:pt idx="3">
                  <c:v>2.9030899869919438</c:v>
                </c:pt>
                <c:pt idx="4" formatCode="General">
                  <c:v>3</c:v>
                </c:pt>
                <c:pt idx="5">
                  <c:v>3.3010299956639813</c:v>
                </c:pt>
                <c:pt idx="6">
                  <c:v>3.4771212547196626</c:v>
                </c:pt>
                <c:pt idx="7">
                  <c:v>3.6020599913279625</c:v>
                </c:pt>
                <c:pt idx="8">
                  <c:v>3.6989700043360187</c:v>
                </c:pt>
                <c:pt idx="9">
                  <c:v>3.7781512503836434</c:v>
                </c:pt>
                <c:pt idx="10">
                  <c:v>3.8450980400142569</c:v>
                </c:pt>
                <c:pt idx="11">
                  <c:v>3.9030899869919438</c:v>
                </c:pt>
                <c:pt idx="12">
                  <c:v>3.9542425094393248</c:v>
                </c:pt>
                <c:pt idx="13" formatCode="General">
                  <c:v>4</c:v>
                </c:pt>
                <c:pt idx="14">
                  <c:v>4.3010299956639813</c:v>
                </c:pt>
                <c:pt idx="15">
                  <c:v>4.4771212547196626</c:v>
                </c:pt>
                <c:pt idx="16">
                  <c:v>4.6989700043360187</c:v>
                </c:pt>
                <c:pt idx="17">
                  <c:v>4.7781512503836439</c:v>
                </c:pt>
                <c:pt idx="18">
                  <c:v>4.9030899869919438</c:v>
                </c:pt>
                <c:pt idx="19" formatCode="General">
                  <c:v>5</c:v>
                </c:pt>
              </c:numCache>
            </c:numRef>
          </c:xVal>
          <c:yVal>
            <c:numRef>
              <c:f>'RLC 交流電路'!$D$3:$D$22</c:f>
              <c:numCache>
                <c:formatCode>0.00</c:formatCode>
                <c:ptCount val="20"/>
                <c:pt idx="0">
                  <c:v>0.5</c:v>
                </c:pt>
                <c:pt idx="1">
                  <c:v>0.7</c:v>
                </c:pt>
                <c:pt idx="2">
                  <c:v>1.2</c:v>
                </c:pt>
                <c:pt idx="3">
                  <c:v>1.7</c:v>
                </c:pt>
                <c:pt idx="4">
                  <c:v>2.1</c:v>
                </c:pt>
                <c:pt idx="5">
                  <c:v>3.5</c:v>
                </c:pt>
                <c:pt idx="6">
                  <c:v>4</c:v>
                </c:pt>
                <c:pt idx="7">
                  <c:v>4.0999999999999996</c:v>
                </c:pt>
                <c:pt idx="8">
                  <c:v>4.4000000000000004</c:v>
                </c:pt>
                <c:pt idx="9">
                  <c:v>4.4000000000000004</c:v>
                </c:pt>
                <c:pt idx="10">
                  <c:v>4.5</c:v>
                </c:pt>
                <c:pt idx="11" formatCode="0.00_ ">
                  <c:v>4.4000000000000004</c:v>
                </c:pt>
                <c:pt idx="12" formatCode="0.00_ ">
                  <c:v>4.3</c:v>
                </c:pt>
                <c:pt idx="13">
                  <c:v>4</c:v>
                </c:pt>
                <c:pt idx="14">
                  <c:v>3.1</c:v>
                </c:pt>
                <c:pt idx="15">
                  <c:v>2.2000000000000002</c:v>
                </c:pt>
                <c:pt idx="16">
                  <c:v>1.6</c:v>
                </c:pt>
                <c:pt idx="17">
                  <c:v>1.4</c:v>
                </c:pt>
                <c:pt idx="18">
                  <c:v>1.07</c:v>
                </c:pt>
                <c:pt idx="19">
                  <c:v>0.96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42-4ACC-B636-141E35D55853}"/>
            </c:ext>
          </c:extLst>
        </c:ser>
        <c:ser>
          <c:idx val="0"/>
          <c:order val="2"/>
          <c:tx>
            <c:v>1kΩ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'RLC 交流電路'!$B$3:$B$22</c:f>
              <c:numCache>
                <c:formatCode>0.0000_ </c:formatCode>
                <c:ptCount val="20"/>
                <c:pt idx="0" formatCode="General">
                  <c:v>2</c:v>
                </c:pt>
                <c:pt idx="1">
                  <c:v>2.6020599913279625</c:v>
                </c:pt>
                <c:pt idx="2">
                  <c:v>2.7781512503836434</c:v>
                </c:pt>
                <c:pt idx="3">
                  <c:v>2.9030899869919438</c:v>
                </c:pt>
                <c:pt idx="4" formatCode="General">
                  <c:v>3</c:v>
                </c:pt>
                <c:pt idx="5">
                  <c:v>3.3010299956639813</c:v>
                </c:pt>
                <c:pt idx="6">
                  <c:v>3.4771212547196626</c:v>
                </c:pt>
                <c:pt idx="7">
                  <c:v>3.6020599913279625</c:v>
                </c:pt>
                <c:pt idx="8">
                  <c:v>3.6989700043360187</c:v>
                </c:pt>
                <c:pt idx="9">
                  <c:v>3.7781512503836434</c:v>
                </c:pt>
                <c:pt idx="10">
                  <c:v>3.8450980400142569</c:v>
                </c:pt>
                <c:pt idx="11">
                  <c:v>3.9030899869919438</c:v>
                </c:pt>
                <c:pt idx="12">
                  <c:v>3.9542425094393248</c:v>
                </c:pt>
                <c:pt idx="13" formatCode="General">
                  <c:v>4</c:v>
                </c:pt>
                <c:pt idx="14">
                  <c:v>4.3010299956639813</c:v>
                </c:pt>
                <c:pt idx="15">
                  <c:v>4.4771212547196626</c:v>
                </c:pt>
                <c:pt idx="16">
                  <c:v>4.6989700043360187</c:v>
                </c:pt>
                <c:pt idx="17">
                  <c:v>4.7781512503836439</c:v>
                </c:pt>
                <c:pt idx="18">
                  <c:v>4.9030899869919438</c:v>
                </c:pt>
                <c:pt idx="19" formatCode="General">
                  <c:v>5</c:v>
                </c:pt>
              </c:numCache>
            </c:numRef>
          </c:xVal>
          <c:yVal>
            <c:numRef>
              <c:f>'RLC 交流電路'!$C$3:$C$22</c:f>
              <c:numCache>
                <c:formatCode>0.00</c:formatCode>
                <c:ptCount val="20"/>
                <c:pt idx="0">
                  <c:v>0.2</c:v>
                </c:pt>
                <c:pt idx="1">
                  <c:v>0.2</c:v>
                </c:pt>
                <c:pt idx="2">
                  <c:v>0.4</c:v>
                </c:pt>
                <c:pt idx="3">
                  <c:v>0.7</c:v>
                </c:pt>
                <c:pt idx="4">
                  <c:v>0.9</c:v>
                </c:pt>
                <c:pt idx="5">
                  <c:v>2.2000000000000002</c:v>
                </c:pt>
                <c:pt idx="6">
                  <c:v>2.92</c:v>
                </c:pt>
                <c:pt idx="7">
                  <c:v>3.26</c:v>
                </c:pt>
                <c:pt idx="8">
                  <c:v>3.42</c:v>
                </c:pt>
                <c:pt idx="9">
                  <c:v>3.5</c:v>
                </c:pt>
                <c:pt idx="10">
                  <c:v>3.5</c:v>
                </c:pt>
                <c:pt idx="11">
                  <c:v>3.34</c:v>
                </c:pt>
                <c:pt idx="12" formatCode="#,##0.00">
                  <c:v>3.2</c:v>
                </c:pt>
                <c:pt idx="13">
                  <c:v>3.12</c:v>
                </c:pt>
                <c:pt idx="14">
                  <c:v>2.15</c:v>
                </c:pt>
                <c:pt idx="15">
                  <c:v>1.52</c:v>
                </c:pt>
                <c:pt idx="16">
                  <c:v>0.94</c:v>
                </c:pt>
                <c:pt idx="17">
                  <c:v>0.79</c:v>
                </c:pt>
                <c:pt idx="18">
                  <c:v>0.6</c:v>
                </c:pt>
                <c:pt idx="19">
                  <c:v>0.48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C42-4ACC-B636-141E35D55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477808"/>
        <c:axId val="293478288"/>
      </c:scatterChart>
      <c:valAx>
        <c:axId val="293477808"/>
        <c:scaling>
          <c:orientation val="minMax"/>
          <c:max val="5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TW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log(f)Hz</a:t>
                </a:r>
                <a:endParaRPr lang="en-US" altLang="zh-TW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9201341830848666"/>
              <c:y val="0.919076861144060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93478288"/>
        <c:crosses val="autoZero"/>
        <c:crossBetween val="midCat"/>
      </c:valAx>
      <c:valAx>
        <c:axId val="29347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標楷體" panose="03000509000000000000" pitchFamily="65" charset="-120"/>
                    <a:ea typeface="標楷體" panose="03000509000000000000" pitchFamily="65" charset="-120"/>
                    <a:cs typeface="+mn-cs"/>
                  </a:defRPr>
                </a:pPr>
                <a:r>
                  <a:rPr lang="zh-TW" altLang="en-US" sz="1400">
                    <a:latin typeface="標楷體" panose="03000509000000000000" pitchFamily="65" charset="-120"/>
                    <a:ea typeface="標楷體" panose="03000509000000000000" pitchFamily="65" charset="-120"/>
                  </a:rPr>
                  <a:t>伏特</a:t>
                </a:r>
                <a:r>
                  <a:rPr lang="en-US" altLang="zh-TW" sz="1400">
                    <a:latin typeface="標楷體" panose="03000509000000000000" pitchFamily="65" charset="-120"/>
                    <a:ea typeface="標楷體" panose="03000509000000000000" pitchFamily="65" charset="-120"/>
                  </a:rPr>
                  <a:t>(V)</a:t>
                </a:r>
                <a:endParaRPr lang="zh-TW" altLang="en-US" sz="1400">
                  <a:latin typeface="標楷體" panose="03000509000000000000" pitchFamily="65" charset="-120"/>
                  <a:ea typeface="標楷體" panose="03000509000000000000" pitchFamily="65" charset="-120"/>
                </a:endParaRPr>
              </a:p>
            </c:rich>
          </c:tx>
          <c:layout>
            <c:manualLayout>
              <c:xMode val="edge"/>
              <c:yMode val="edge"/>
              <c:x val="1.8977387192699344E-2"/>
              <c:y val="0.466044481842366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標楷體" panose="03000509000000000000" pitchFamily="65" charset="-120"/>
                  <a:ea typeface="標楷體" panose="03000509000000000000" pitchFamily="65" charset="-120"/>
                  <a:cs typeface="+mn-cs"/>
                </a:defRPr>
              </a:pPr>
              <a:endParaRPr lang="zh-TW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93477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19878</xdr:colOff>
      <xdr:row>2</xdr:row>
      <xdr:rowOff>19878</xdr:rowOff>
    </xdr:from>
    <xdr:to>
      <xdr:col>7</xdr:col>
      <xdr:colOff>1321284</xdr:colOff>
      <xdr:row>7</xdr:row>
      <xdr:rowOff>13253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BE2988A1-A083-49C6-AA73-AA7FCE3ED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7478" y="781878"/>
          <a:ext cx="3401876" cy="2160105"/>
        </a:xfrm>
        <a:prstGeom prst="rect">
          <a:avLst/>
        </a:prstGeom>
      </xdr:spPr>
    </xdr:pic>
    <xdr:clientData/>
  </xdr:twoCellAnchor>
  <xdr:twoCellAnchor editAs="oneCell">
    <xdr:from>
      <xdr:col>8</xdr:col>
      <xdr:colOff>10638</xdr:colOff>
      <xdr:row>1</xdr:row>
      <xdr:rowOff>204616</xdr:rowOff>
    </xdr:from>
    <xdr:to>
      <xdr:col>11</xdr:col>
      <xdr:colOff>854766</xdr:colOff>
      <xdr:row>8</xdr:row>
      <xdr:rowOff>0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96BF8FAE-B234-40E8-B34E-3E1397D76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0551" y="761207"/>
          <a:ext cx="2931345" cy="24391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8115</xdr:rowOff>
    </xdr:from>
    <xdr:to>
      <xdr:col>3</xdr:col>
      <xdr:colOff>1053548</xdr:colOff>
      <xdr:row>8</xdr:row>
      <xdr:rowOff>0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58A90117-BFA6-4437-9134-C944C943A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70115"/>
          <a:ext cx="3631096" cy="24302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441960</xdr:colOff>
      <xdr:row>3</xdr:row>
      <xdr:rowOff>143434</xdr:rowOff>
    </xdr:from>
    <xdr:to>
      <xdr:col>20</xdr:col>
      <xdr:colOff>312420</xdr:colOff>
      <xdr:row>19</xdr:row>
      <xdr:rowOff>106680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06244FB-35AC-AF28-82A8-CA2E8BACF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zoomScale="115" zoomScaleNormal="115" workbookViewId="0">
      <selection activeCell="L15" sqref="L15"/>
    </sheetView>
  </sheetViews>
  <sheetFormatPr defaultRowHeight="16.2" x14ac:dyDescent="0.3"/>
  <cols>
    <col min="3" max="3" width="19.77734375" customWidth="1"/>
    <col min="4" max="4" width="15.77734375" customWidth="1"/>
    <col min="6" max="6" width="12.88671875" customWidth="1"/>
    <col min="7" max="7" width="8.88671875" customWidth="1"/>
    <col min="8" max="8" width="19.44140625" customWidth="1"/>
    <col min="9" max="9" width="10.6640625" bestFit="1" customWidth="1"/>
    <col min="11" max="11" width="10.88671875" customWidth="1"/>
    <col min="12" max="12" width="12.77734375" customWidth="1"/>
  </cols>
  <sheetData>
    <row r="1" spans="1:15" ht="43.8" customHeight="1" x14ac:dyDescent="0.3">
      <c r="A1" s="63" t="s">
        <v>0</v>
      </c>
      <c r="B1" s="64"/>
      <c r="C1" s="4" ph="1">
        <v>18</v>
      </c>
      <c r="D1" s="5" t="s">
        <v>1</v>
      </c>
      <c r="E1" s="6">
        <v>4.7E-2</v>
      </c>
      <c r="F1" s="7" t="s">
        <v>6</v>
      </c>
      <c r="G1" s="4">
        <v>150</v>
      </c>
      <c r="H1" s="23" t="s">
        <v>7</v>
      </c>
      <c r="I1" s="26">
        <f xml:space="preserve"> 2*(C1*10^-3 / (E1*10^-6))^(1/2)</f>
        <v>1237.7054955105523</v>
      </c>
      <c r="J1" s="60" t="s">
        <v>46</v>
      </c>
      <c r="K1" s="36"/>
      <c r="L1" s="3">
        <v>120</v>
      </c>
    </row>
    <row r="2" spans="1:15" x14ac:dyDescent="0.3">
      <c r="A2" s="65" t="s">
        <v>9</v>
      </c>
      <c r="B2" s="66"/>
      <c r="C2" s="66"/>
      <c r="D2" s="67"/>
      <c r="E2" s="65" t="s">
        <v>11</v>
      </c>
      <c r="F2" s="66"/>
      <c r="G2" s="66"/>
      <c r="H2" s="68"/>
      <c r="I2" s="69" t="s">
        <v>12</v>
      </c>
      <c r="J2" s="66"/>
      <c r="K2" s="66"/>
      <c r="L2" s="68"/>
    </row>
    <row r="3" spans="1:15" ht="88.8" customHeight="1" x14ac:dyDescent="0.3">
      <c r="A3" s="46" t="s">
        <v>2</v>
      </c>
      <c r="B3" s="47"/>
      <c r="C3" s="47"/>
      <c r="D3" s="47"/>
      <c r="E3" s="27"/>
      <c r="F3" s="27"/>
      <c r="G3" s="27"/>
      <c r="H3" s="27"/>
      <c r="I3" s="47"/>
      <c r="J3" s="47"/>
      <c r="K3" s="47"/>
      <c r="L3" s="53"/>
    </row>
    <row r="4" spans="1:15" x14ac:dyDescent="0.3">
      <c r="A4" s="48"/>
      <c r="B4" s="49"/>
      <c r="C4" s="49"/>
      <c r="D4" s="50"/>
      <c r="E4" s="27"/>
      <c r="F4" s="27"/>
      <c r="G4" s="27"/>
      <c r="H4" s="27"/>
      <c r="I4" s="50"/>
      <c r="J4" s="49"/>
      <c r="K4" s="49"/>
      <c r="L4" s="54"/>
    </row>
    <row r="5" spans="1:15" x14ac:dyDescent="0.3">
      <c r="A5" s="48"/>
      <c r="B5" s="49"/>
      <c r="C5" s="49"/>
      <c r="D5" s="50"/>
      <c r="E5" s="27"/>
      <c r="F5" s="27"/>
      <c r="G5" s="27"/>
      <c r="H5" s="27"/>
      <c r="I5" s="50"/>
      <c r="J5" s="49"/>
      <c r="K5" s="49"/>
      <c r="L5" s="54"/>
      <c r="O5">
        <v>3</v>
      </c>
    </row>
    <row r="6" spans="1:15" x14ac:dyDescent="0.3">
      <c r="A6" s="48"/>
      <c r="B6" s="49"/>
      <c r="C6" s="49"/>
      <c r="D6" s="50"/>
      <c r="E6" s="27"/>
      <c r="F6" s="27"/>
      <c r="G6" s="27"/>
      <c r="H6" s="27"/>
      <c r="I6" s="50"/>
      <c r="J6" s="49"/>
      <c r="K6" s="49"/>
      <c r="L6" s="54"/>
    </row>
    <row r="7" spans="1:15" ht="33.6" customHeight="1" x14ac:dyDescent="0.3">
      <c r="A7" s="48"/>
      <c r="B7" s="49"/>
      <c r="C7" s="49"/>
      <c r="D7" s="50"/>
      <c r="E7" s="27"/>
      <c r="F7" s="27"/>
      <c r="G7" s="27"/>
      <c r="H7" s="27"/>
      <c r="I7" s="50"/>
      <c r="J7" s="49"/>
      <c r="K7" s="49"/>
      <c r="L7" s="54"/>
    </row>
    <row r="8" spans="1:15" ht="21.6" customHeight="1" x14ac:dyDescent="0.3">
      <c r="A8" s="51"/>
      <c r="B8" s="52"/>
      <c r="C8" s="52"/>
      <c r="D8" s="52"/>
      <c r="E8" s="56" t="s">
        <v>14</v>
      </c>
      <c r="F8" s="36"/>
      <c r="G8" s="57">
        <v>1076</v>
      </c>
      <c r="H8" s="59"/>
      <c r="I8" s="52"/>
      <c r="J8" s="52"/>
      <c r="K8" s="52"/>
      <c r="L8" s="55"/>
      <c r="O8">
        <v>10.16</v>
      </c>
    </row>
    <row r="9" spans="1:15" ht="19.8" x14ac:dyDescent="0.3">
      <c r="A9" s="56" t="s">
        <v>13</v>
      </c>
      <c r="B9" s="36"/>
      <c r="C9" s="57">
        <v>1.9</v>
      </c>
      <c r="D9" s="58"/>
      <c r="E9" s="56" t="s">
        <v>3</v>
      </c>
      <c r="F9" s="36"/>
      <c r="G9" s="36">
        <f xml:space="preserve"> G8 + L1</f>
        <v>1196</v>
      </c>
      <c r="H9" s="45"/>
      <c r="I9" s="60" t="s">
        <v>15</v>
      </c>
      <c r="J9" s="36"/>
      <c r="K9" s="57">
        <v>10560</v>
      </c>
      <c r="L9" s="59"/>
    </row>
    <row r="10" spans="1:15" ht="20.399999999999999" thickBot="1" x14ac:dyDescent="0.35">
      <c r="A10" s="56" t="s">
        <v>3</v>
      </c>
      <c r="B10" s="36"/>
      <c r="C10" s="36">
        <f xml:space="preserve"> C9 + L1</f>
        <v>121.9</v>
      </c>
      <c r="D10" s="61"/>
      <c r="E10" s="39" t="s">
        <v>48</v>
      </c>
      <c r="F10" s="40"/>
      <c r="G10" s="37">
        <f xml:space="preserve"> G8 / (2*C1*10^-3)</f>
        <v>29888.888888888887</v>
      </c>
      <c r="H10" s="41"/>
      <c r="I10" s="62" t="s">
        <v>3</v>
      </c>
      <c r="J10" s="40"/>
      <c r="K10" s="36">
        <f xml:space="preserve"> K9 + L1</f>
        <v>10680</v>
      </c>
      <c r="L10" s="45"/>
    </row>
    <row r="11" spans="1:15" ht="20.399999999999999" thickBot="1" x14ac:dyDescent="0.35">
      <c r="A11" s="35" t="s">
        <v>47</v>
      </c>
      <c r="B11" s="36"/>
      <c r="C11" s="37">
        <f xml:space="preserve"> C9 / (2*C1*10^-3)</f>
        <v>52.777777777777771</v>
      </c>
      <c r="D11" s="38"/>
      <c r="E11" s="28" t="s">
        <v>45</v>
      </c>
      <c r="F11" s="28"/>
      <c r="G11" s="29">
        <f>ABS((G9-I1)/I1)*100</f>
        <v>3.3695815088345231</v>
      </c>
      <c r="H11" s="29"/>
      <c r="I11" s="42" t="s">
        <v>49</v>
      </c>
      <c r="J11" s="43"/>
      <c r="K11" s="44">
        <f xml:space="preserve"> K9 / (2*C1*10^-3)</f>
        <v>293333.33333333331</v>
      </c>
      <c r="L11" s="41"/>
    </row>
    <row r="12" spans="1:15" ht="20.399999999999999" thickBot="1" x14ac:dyDescent="0.35">
      <c r="A12" s="30" t="s">
        <v>10</v>
      </c>
      <c r="B12" s="31"/>
      <c r="C12" s="31"/>
      <c r="D12" s="1" t="s">
        <v>8</v>
      </c>
      <c r="E12" s="32" t="s">
        <v>4</v>
      </c>
      <c r="F12" s="33"/>
      <c r="G12" s="31"/>
      <c r="H12" s="2" t="s">
        <v>8</v>
      </c>
      <c r="I12" s="34" t="s">
        <v>5</v>
      </c>
      <c r="J12" s="33"/>
      <c r="K12" s="31"/>
      <c r="L12" s="2" t="s">
        <v>8</v>
      </c>
    </row>
    <row r="13" spans="1:15" ht="16.8" thickTop="1" x14ac:dyDescent="0.3"/>
  </sheetData>
  <mergeCells count="30">
    <mergeCell ref="A1:B1"/>
    <mergeCell ref="J1:K1"/>
    <mergeCell ref="A2:D2"/>
    <mergeCell ref="E2:H2"/>
    <mergeCell ref="I2:L2"/>
    <mergeCell ref="A10:B10"/>
    <mergeCell ref="C10:D10"/>
    <mergeCell ref="E9:F9"/>
    <mergeCell ref="G9:H9"/>
    <mergeCell ref="I10:J10"/>
    <mergeCell ref="A3:D8"/>
    <mergeCell ref="I3:L8"/>
    <mergeCell ref="A9:B9"/>
    <mergeCell ref="C9:D9"/>
    <mergeCell ref="E8:F8"/>
    <mergeCell ref="G8:H8"/>
    <mergeCell ref="I9:J9"/>
    <mergeCell ref="K9:L9"/>
    <mergeCell ref="E10:F10"/>
    <mergeCell ref="G10:H10"/>
    <mergeCell ref="I11:J11"/>
    <mergeCell ref="K11:L11"/>
    <mergeCell ref="K10:L10"/>
    <mergeCell ref="E11:F11"/>
    <mergeCell ref="G11:H11"/>
    <mergeCell ref="A12:C12"/>
    <mergeCell ref="E12:G12"/>
    <mergeCell ref="I12:K12"/>
    <mergeCell ref="A11:B11"/>
    <mergeCell ref="C11:D1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tabSelected="1" topLeftCell="A2" zoomScaleNormal="100" workbookViewId="0">
      <selection activeCell="C12" sqref="C12"/>
    </sheetView>
  </sheetViews>
  <sheetFormatPr defaultRowHeight="16.2" x14ac:dyDescent="0.3"/>
  <cols>
    <col min="2" max="2" width="12.77734375" customWidth="1"/>
    <col min="3" max="3" width="9.33203125" bestFit="1" customWidth="1"/>
    <col min="6" max="6" width="12.21875" customWidth="1"/>
    <col min="7" max="7" width="7.21875" customWidth="1"/>
    <col min="8" max="8" width="14" customWidth="1"/>
    <col min="10" max="10" width="15.5546875" customWidth="1"/>
    <col min="11" max="11" width="14.88671875" customWidth="1"/>
  </cols>
  <sheetData>
    <row r="1" spans="1:11" x14ac:dyDescent="0.3">
      <c r="A1" s="73" t="s">
        <v>38</v>
      </c>
      <c r="B1" s="73"/>
      <c r="C1" s="73"/>
      <c r="D1" s="73"/>
      <c r="E1" s="13">
        <v>18</v>
      </c>
      <c r="F1" s="11"/>
      <c r="G1" s="36" t="s">
        <v>43</v>
      </c>
      <c r="H1" s="36"/>
      <c r="I1" s="36" t="s">
        <v>44</v>
      </c>
      <c r="J1" s="36"/>
      <c r="K1" s="11" t="s">
        <v>19</v>
      </c>
    </row>
    <row r="2" spans="1:11" ht="19.8" x14ac:dyDescent="0.3">
      <c r="A2" s="11" t="s">
        <v>41</v>
      </c>
      <c r="B2" s="11" t="s">
        <v>39</v>
      </c>
      <c r="C2" s="11" t="s">
        <v>16</v>
      </c>
      <c r="D2" s="11" t="s">
        <v>17</v>
      </c>
      <c r="E2" s="11" t="s">
        <v>18</v>
      </c>
      <c r="F2" s="14" t="s">
        <v>42</v>
      </c>
      <c r="G2" s="72">
        <f xml:space="preserve"> ((F15+(G15-F15)*(G8-F17)/(G17-F17)) - (F11+(G11-F11)*(G8-F13)/(G13-F13)))*2*PI()*1000</f>
        <v>63668.085216583415</v>
      </c>
      <c r="H2" s="72"/>
      <c r="I2" s="72">
        <f xml:space="preserve"> 1120/ ($E$1*10^-3)</f>
        <v>62222.222222222212</v>
      </c>
      <c r="J2" s="72"/>
      <c r="K2" s="10">
        <f>ABS((G2-I2)/I2)*100</f>
        <v>2.3237083837947909</v>
      </c>
    </row>
    <row r="3" spans="1:11" ht="19.8" x14ac:dyDescent="0.3">
      <c r="A3" s="11">
        <v>0.1</v>
      </c>
      <c r="B3" s="11">
        <f>LOG(A3*1000)</f>
        <v>2</v>
      </c>
      <c r="C3" s="9">
        <v>0.2</v>
      </c>
      <c r="D3" s="9">
        <v>0.5</v>
      </c>
      <c r="E3" s="9">
        <v>0.7</v>
      </c>
      <c r="F3" s="15" t="s">
        <v>20</v>
      </c>
      <c r="G3" s="72">
        <f xml:space="preserve"> ((H15+(I15-H15)*(I8-H17)/(I17-H17)) - (H11+(I11-H11)*(I8-H13)/(I13-H13)))*2*PI()*1000</f>
        <v>135070.71087444774</v>
      </c>
      <c r="H3" s="72"/>
      <c r="I3" s="72">
        <f xml:space="preserve"> 2120 / ($E$1*10^-3)</f>
        <v>117777.77777777777</v>
      </c>
      <c r="J3" s="72"/>
      <c r="K3" s="10">
        <f>ABS((G3-I3)/I3)*100</f>
        <v>14.682679044342436</v>
      </c>
    </row>
    <row r="4" spans="1:11" ht="19.8" x14ac:dyDescent="0.3">
      <c r="A4" s="11">
        <v>0.4</v>
      </c>
      <c r="B4" s="16">
        <f t="shared" ref="B4:B22" si="0">LOG(A4*1000)</f>
        <v>2.6020599913279625</v>
      </c>
      <c r="C4" s="9">
        <v>0.2</v>
      </c>
      <c r="D4" s="9">
        <v>0.7</v>
      </c>
      <c r="E4" s="9">
        <v>1.96</v>
      </c>
      <c r="F4" s="15" t="s">
        <v>21</v>
      </c>
      <c r="G4" s="72">
        <f xml:space="preserve"> ((J15+(K15-J15)*(K8-J17)/(K17-J17)) - (J11+(K11-J11)*(K8-J13)/(K13-J13)))*2*PI()*1000</f>
        <v>268953.64562286995</v>
      </c>
      <c r="H4" s="72"/>
      <c r="I4" s="72">
        <f xml:space="preserve"> 4120 / ($E$1*10^-3)</f>
        <v>228888.88888888888</v>
      </c>
      <c r="J4" s="72"/>
      <c r="K4" s="10">
        <f>ABS((G4-I4)/I4)*100</f>
        <v>17.504019932321832</v>
      </c>
    </row>
    <row r="5" spans="1:11" x14ac:dyDescent="0.3">
      <c r="A5" s="11">
        <v>0.6</v>
      </c>
      <c r="B5" s="16">
        <f t="shared" si="0"/>
        <v>2.7781512503836434</v>
      </c>
      <c r="C5" s="9">
        <v>0.4</v>
      </c>
      <c r="D5" s="9">
        <v>1.2</v>
      </c>
      <c r="E5" s="20">
        <v>2.82</v>
      </c>
      <c r="F5" s="36" t="s">
        <v>22</v>
      </c>
      <c r="G5" s="36"/>
      <c r="H5" s="36"/>
      <c r="I5" s="36"/>
      <c r="J5" s="36"/>
      <c r="K5" s="36"/>
    </row>
    <row r="6" spans="1:11" x14ac:dyDescent="0.3">
      <c r="A6" s="11">
        <v>0.8</v>
      </c>
      <c r="B6" s="16">
        <f t="shared" si="0"/>
        <v>2.9030899869919438</v>
      </c>
      <c r="C6" s="9">
        <v>0.7</v>
      </c>
      <c r="D6" s="9">
        <v>1.7</v>
      </c>
      <c r="E6" s="20">
        <v>3.3</v>
      </c>
      <c r="F6" s="36" t="s">
        <v>23</v>
      </c>
      <c r="G6" s="36"/>
      <c r="H6" s="36"/>
      <c r="I6" s="36"/>
      <c r="J6" s="36"/>
      <c r="K6" s="36"/>
    </row>
    <row r="7" spans="1:11" ht="19.8" x14ac:dyDescent="0.3">
      <c r="A7" s="11">
        <v>1</v>
      </c>
      <c r="B7" s="11">
        <f t="shared" si="0"/>
        <v>3</v>
      </c>
      <c r="C7" s="9">
        <v>0.9</v>
      </c>
      <c r="D7" s="21">
        <v>2.1</v>
      </c>
      <c r="E7" s="9">
        <v>3.74</v>
      </c>
      <c r="F7" s="17" t="s">
        <v>24</v>
      </c>
      <c r="G7" s="18">
        <v>4</v>
      </c>
      <c r="H7" s="17" t="s">
        <v>24</v>
      </c>
      <c r="I7" s="18">
        <v>4</v>
      </c>
      <c r="J7" s="11" t="s">
        <v>25</v>
      </c>
      <c r="K7" s="12">
        <v>4</v>
      </c>
    </row>
    <row r="8" spans="1:11" ht="19.8" x14ac:dyDescent="0.3">
      <c r="A8" s="11">
        <v>2</v>
      </c>
      <c r="B8" s="16">
        <f t="shared" si="0"/>
        <v>3.3010299956639813</v>
      </c>
      <c r="C8" s="19">
        <v>2.2000000000000002</v>
      </c>
      <c r="D8" s="21">
        <v>3.5</v>
      </c>
      <c r="E8" s="9">
        <v>4.5199999999999996</v>
      </c>
      <c r="F8" s="17" t="s">
        <v>26</v>
      </c>
      <c r="G8" s="19">
        <f xml:space="preserve"> G7/(2^(1/2))</f>
        <v>2.8284271247461898</v>
      </c>
      <c r="H8" s="17" t="s">
        <v>26</v>
      </c>
      <c r="I8" s="21">
        <f xml:space="preserve"> I7/(2^(1/2))</f>
        <v>2.8284271247461898</v>
      </c>
      <c r="J8" s="11" t="s">
        <v>26</v>
      </c>
      <c r="K8" s="20">
        <f xml:space="preserve"> K7/(2^(1/2))</f>
        <v>2.8284271247461898</v>
      </c>
    </row>
    <row r="9" spans="1:11" ht="19.8" x14ac:dyDescent="0.3">
      <c r="A9" s="11">
        <v>3</v>
      </c>
      <c r="B9" s="16">
        <f t="shared" si="0"/>
        <v>3.4771212547196626</v>
      </c>
      <c r="C9" s="19">
        <v>2.92</v>
      </c>
      <c r="D9" s="9">
        <v>4</v>
      </c>
      <c r="E9" s="9">
        <v>4.9800000000000004</v>
      </c>
      <c r="F9" s="36" t="s">
        <v>27</v>
      </c>
      <c r="G9" s="36"/>
      <c r="H9" s="36" t="s">
        <v>20</v>
      </c>
      <c r="I9" s="36"/>
      <c r="J9" s="36" t="s">
        <v>21</v>
      </c>
      <c r="K9" s="36"/>
    </row>
    <row r="10" spans="1:11" x14ac:dyDescent="0.3">
      <c r="A10" s="11">
        <v>4</v>
      </c>
      <c r="B10" s="16">
        <f t="shared" si="0"/>
        <v>3.6020599913279625</v>
      </c>
      <c r="C10" s="9">
        <v>3.26</v>
      </c>
      <c r="D10" s="9">
        <v>4.0999999999999996</v>
      </c>
      <c r="E10" s="9">
        <v>5.04</v>
      </c>
      <c r="F10" s="17" t="s">
        <v>28</v>
      </c>
      <c r="G10" s="17" t="s">
        <v>29</v>
      </c>
      <c r="H10" s="17" t="s">
        <v>30</v>
      </c>
      <c r="I10" s="17" t="s">
        <v>29</v>
      </c>
      <c r="J10" s="11" t="s">
        <v>28</v>
      </c>
      <c r="K10" s="11" t="s">
        <v>29</v>
      </c>
    </row>
    <row r="11" spans="1:11" x14ac:dyDescent="0.3">
      <c r="A11" s="11">
        <v>5</v>
      </c>
      <c r="B11" s="16">
        <f t="shared" si="0"/>
        <v>3.6989700043360187</v>
      </c>
      <c r="C11" s="9">
        <v>3.42</v>
      </c>
      <c r="D11" s="9">
        <v>4.4000000000000004</v>
      </c>
      <c r="E11" s="9">
        <v>5.12</v>
      </c>
      <c r="F11" s="18">
        <v>2</v>
      </c>
      <c r="G11" s="18">
        <v>3</v>
      </c>
      <c r="H11" s="18">
        <v>1</v>
      </c>
      <c r="I11" s="18">
        <v>2</v>
      </c>
      <c r="J11" s="12">
        <v>0.6</v>
      </c>
      <c r="K11" s="12">
        <v>0.8</v>
      </c>
    </row>
    <row r="12" spans="1:11" x14ac:dyDescent="0.3">
      <c r="A12" s="11">
        <v>6</v>
      </c>
      <c r="B12" s="16">
        <f t="shared" si="0"/>
        <v>3.7781512503836434</v>
      </c>
      <c r="C12" s="9">
        <v>3.5</v>
      </c>
      <c r="D12" s="9">
        <v>4.4000000000000004</v>
      </c>
      <c r="E12" s="9">
        <v>5.2</v>
      </c>
      <c r="F12" s="17" t="s">
        <v>31</v>
      </c>
      <c r="G12" s="17" t="s">
        <v>32</v>
      </c>
      <c r="H12" s="17" t="s">
        <v>31</v>
      </c>
      <c r="I12" s="17">
        <v>0</v>
      </c>
      <c r="J12" s="11" t="s">
        <v>31</v>
      </c>
      <c r="K12" s="11" t="s">
        <v>32</v>
      </c>
    </row>
    <row r="13" spans="1:11" x14ac:dyDescent="0.3">
      <c r="A13" s="11">
        <v>7</v>
      </c>
      <c r="B13" s="16">
        <f t="shared" si="0"/>
        <v>3.8450980400142569</v>
      </c>
      <c r="C13" s="9">
        <v>3.5</v>
      </c>
      <c r="D13" s="9">
        <v>4.5</v>
      </c>
      <c r="E13" s="9">
        <v>5.18</v>
      </c>
      <c r="F13" s="9">
        <v>2.2000000000000002</v>
      </c>
      <c r="G13" s="9">
        <v>2.92</v>
      </c>
      <c r="H13" s="9">
        <v>2.1</v>
      </c>
      <c r="I13" s="9">
        <v>3.5</v>
      </c>
      <c r="J13" s="9">
        <v>2.82</v>
      </c>
      <c r="K13" s="9">
        <v>3.3</v>
      </c>
    </row>
    <row r="14" spans="1:11" x14ac:dyDescent="0.3">
      <c r="A14" s="11">
        <v>8</v>
      </c>
      <c r="B14" s="16">
        <f t="shared" si="0"/>
        <v>3.9030899869919438</v>
      </c>
      <c r="C14" s="9">
        <v>3.34</v>
      </c>
      <c r="D14" s="24">
        <v>4.4000000000000004</v>
      </c>
      <c r="E14" s="9">
        <v>5.18</v>
      </c>
      <c r="F14" s="17" t="s">
        <v>33</v>
      </c>
      <c r="G14" s="17" t="s">
        <v>34</v>
      </c>
      <c r="H14" s="17" t="s">
        <v>33</v>
      </c>
      <c r="I14" s="17" t="s">
        <v>34</v>
      </c>
      <c r="J14" s="11" t="s">
        <v>33</v>
      </c>
      <c r="K14" s="11" t="s">
        <v>34</v>
      </c>
    </row>
    <row r="15" spans="1:11" x14ac:dyDescent="0.3">
      <c r="A15" s="11">
        <v>9</v>
      </c>
      <c r="B15" s="16">
        <f t="shared" si="0"/>
        <v>3.9542425094393248</v>
      </c>
      <c r="C15" s="25">
        <v>3.2</v>
      </c>
      <c r="D15" s="24">
        <v>4.3</v>
      </c>
      <c r="E15" s="9">
        <v>5.22</v>
      </c>
      <c r="F15" s="18">
        <v>10</v>
      </c>
      <c r="G15" s="18">
        <v>20</v>
      </c>
      <c r="H15" s="18">
        <v>20</v>
      </c>
      <c r="I15" s="18">
        <v>30</v>
      </c>
      <c r="J15" s="12">
        <v>30</v>
      </c>
      <c r="K15" s="12">
        <v>50</v>
      </c>
    </row>
    <row r="16" spans="1:11" x14ac:dyDescent="0.3">
      <c r="A16" s="11">
        <v>10</v>
      </c>
      <c r="B16" s="11">
        <f t="shared" si="0"/>
        <v>4</v>
      </c>
      <c r="C16" s="22">
        <v>3.12</v>
      </c>
      <c r="D16" s="9">
        <v>4</v>
      </c>
      <c r="E16" s="9">
        <v>5</v>
      </c>
      <c r="F16" s="17" t="s">
        <v>35</v>
      </c>
      <c r="G16" s="17" t="s">
        <v>36</v>
      </c>
      <c r="H16" s="17" t="s">
        <v>35</v>
      </c>
      <c r="I16" s="17" t="s">
        <v>36</v>
      </c>
      <c r="J16" s="11" t="s">
        <v>35</v>
      </c>
      <c r="K16" s="11" t="s">
        <v>37</v>
      </c>
    </row>
    <row r="17" spans="1:18" x14ac:dyDescent="0.3">
      <c r="A17" s="11">
        <v>20</v>
      </c>
      <c r="B17" s="16">
        <f t="shared" si="0"/>
        <v>4.3010299956639813</v>
      </c>
      <c r="C17" s="22">
        <v>2.15</v>
      </c>
      <c r="D17" s="21">
        <v>3.1</v>
      </c>
      <c r="E17" s="9">
        <v>4.4000000000000004</v>
      </c>
      <c r="F17" s="9">
        <v>3.12</v>
      </c>
      <c r="G17" s="9">
        <v>2.15</v>
      </c>
      <c r="H17" s="9">
        <v>3.1</v>
      </c>
      <c r="I17" s="9">
        <v>2.2000000000000002</v>
      </c>
      <c r="J17" s="9">
        <v>3.7</v>
      </c>
      <c r="K17" s="9">
        <v>2.4</v>
      </c>
    </row>
    <row r="18" spans="1:18" x14ac:dyDescent="0.3">
      <c r="A18" s="11">
        <v>30</v>
      </c>
      <c r="B18" s="16">
        <f t="shared" si="0"/>
        <v>4.4771212547196626</v>
      </c>
      <c r="C18" s="9">
        <v>1.52</v>
      </c>
      <c r="D18" s="21">
        <v>2.2000000000000002</v>
      </c>
      <c r="E18" s="20">
        <v>3.7</v>
      </c>
      <c r="F18" s="70" t="s">
        <v>40</v>
      </c>
      <c r="G18" s="70"/>
      <c r="H18" s="70"/>
      <c r="I18" s="70"/>
      <c r="J18" s="70"/>
      <c r="K18" s="70"/>
      <c r="L18" s="71"/>
      <c r="M18" s="71"/>
      <c r="N18" s="71"/>
      <c r="O18" s="71"/>
      <c r="P18" s="71"/>
      <c r="Q18" s="71"/>
      <c r="R18" s="71"/>
    </row>
    <row r="19" spans="1:18" x14ac:dyDescent="0.3">
      <c r="A19" s="11">
        <v>50</v>
      </c>
      <c r="B19" s="16">
        <f t="shared" si="0"/>
        <v>4.6989700043360187</v>
      </c>
      <c r="C19" s="9">
        <v>0.94</v>
      </c>
      <c r="D19" s="9">
        <v>1.6</v>
      </c>
      <c r="E19" s="20">
        <v>2.4</v>
      </c>
      <c r="F19" s="70"/>
      <c r="G19" s="70"/>
      <c r="H19" s="70"/>
      <c r="I19" s="70"/>
      <c r="J19" s="70"/>
      <c r="K19" s="70"/>
      <c r="L19" s="71"/>
      <c r="M19" s="71"/>
      <c r="N19" s="71"/>
      <c r="O19" s="71"/>
      <c r="P19" s="71"/>
      <c r="Q19" s="71"/>
      <c r="R19" s="71"/>
    </row>
    <row r="20" spans="1:18" x14ac:dyDescent="0.3">
      <c r="A20" s="11">
        <v>60</v>
      </c>
      <c r="B20" s="16">
        <f t="shared" si="0"/>
        <v>4.7781512503836439</v>
      </c>
      <c r="C20" s="9">
        <v>0.79</v>
      </c>
      <c r="D20" s="9">
        <v>1.4</v>
      </c>
      <c r="E20" s="9">
        <v>2.1</v>
      </c>
      <c r="F20" s="70"/>
      <c r="G20" s="70"/>
      <c r="H20" s="70"/>
      <c r="I20" s="70"/>
      <c r="J20" s="70"/>
      <c r="K20" s="70"/>
    </row>
    <row r="21" spans="1:18" x14ac:dyDescent="0.3">
      <c r="A21" s="11">
        <v>80</v>
      </c>
      <c r="B21" s="16">
        <f t="shared" si="0"/>
        <v>4.9030899869919438</v>
      </c>
      <c r="C21" s="9">
        <v>0.6</v>
      </c>
      <c r="D21" s="9">
        <v>1.07</v>
      </c>
      <c r="E21" s="9">
        <v>1.92</v>
      </c>
      <c r="F21" s="70"/>
      <c r="G21" s="70"/>
      <c r="H21" s="70"/>
      <c r="I21" s="70"/>
      <c r="J21" s="70"/>
      <c r="K21" s="70"/>
    </row>
    <row r="22" spans="1:18" x14ac:dyDescent="0.3">
      <c r="A22" s="11">
        <v>100</v>
      </c>
      <c r="B22" s="11">
        <f t="shared" si="0"/>
        <v>5</v>
      </c>
      <c r="C22" s="9">
        <v>0.48</v>
      </c>
      <c r="D22" s="9">
        <v>0.96</v>
      </c>
      <c r="E22" s="9">
        <v>1.8</v>
      </c>
      <c r="F22" s="70"/>
      <c r="G22" s="70"/>
      <c r="H22" s="70"/>
      <c r="I22" s="70"/>
      <c r="J22" s="70"/>
      <c r="K22" s="70"/>
    </row>
    <row r="23" spans="1:18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8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8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8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8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8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8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8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8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8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x14ac:dyDescent="0.3">
      <c r="A37" s="8"/>
      <c r="B37" s="8"/>
      <c r="C37" s="8"/>
      <c r="D37" s="8"/>
      <c r="E37" s="8"/>
      <c r="F37" s="8"/>
    </row>
    <row r="38" spans="1:11" x14ac:dyDescent="0.3">
      <c r="A38" s="8"/>
      <c r="B38" s="8"/>
      <c r="C38" s="8"/>
      <c r="D38" s="8"/>
      <c r="E38" s="8"/>
      <c r="F38" s="8"/>
    </row>
    <row r="39" spans="1:11" x14ac:dyDescent="0.3">
      <c r="A39" s="8"/>
      <c r="B39" s="8"/>
      <c r="C39" s="8"/>
      <c r="D39" s="8"/>
      <c r="E39" s="8"/>
      <c r="F39" s="8"/>
    </row>
    <row r="40" spans="1:11" x14ac:dyDescent="0.3">
      <c r="A40" s="8"/>
      <c r="B40" s="8"/>
      <c r="C40" s="8"/>
      <c r="D40" s="8"/>
      <c r="E40" s="8"/>
      <c r="F40" s="8"/>
    </row>
    <row r="41" spans="1:11" x14ac:dyDescent="0.3">
      <c r="A41" s="8"/>
      <c r="B41" s="8"/>
      <c r="C41" s="8"/>
      <c r="D41" s="8"/>
      <c r="E41" s="8"/>
      <c r="F41" s="8"/>
    </row>
    <row r="42" spans="1:11" x14ac:dyDescent="0.3">
      <c r="A42" s="8"/>
      <c r="B42" s="8"/>
      <c r="C42" s="8"/>
      <c r="D42" s="8"/>
      <c r="E42" s="8"/>
      <c r="F42" s="8"/>
    </row>
    <row r="43" spans="1:11" x14ac:dyDescent="0.3">
      <c r="A43" s="8"/>
      <c r="B43" s="8"/>
      <c r="C43" s="8"/>
      <c r="D43" s="8"/>
      <c r="E43" s="8"/>
      <c r="F43" s="8"/>
    </row>
    <row r="44" spans="1:11" x14ac:dyDescent="0.3">
      <c r="A44" s="8"/>
      <c r="B44" s="8"/>
      <c r="C44" s="8"/>
      <c r="D44" s="8"/>
      <c r="E44" s="8"/>
      <c r="F44" s="8"/>
    </row>
    <row r="45" spans="1:11" x14ac:dyDescent="0.3">
      <c r="A45" s="8"/>
      <c r="B45" s="8"/>
      <c r="C45" s="8"/>
      <c r="D45" s="8"/>
      <c r="E45" s="8"/>
      <c r="F45" s="8"/>
    </row>
    <row r="46" spans="1:11" x14ac:dyDescent="0.3">
      <c r="A46" s="8"/>
      <c r="B46" s="8"/>
      <c r="C46" s="8"/>
      <c r="D46" s="8"/>
      <c r="E46" s="8"/>
      <c r="F46" s="8"/>
    </row>
    <row r="47" spans="1:11" x14ac:dyDescent="0.3">
      <c r="A47" s="8"/>
      <c r="B47" s="8"/>
      <c r="C47" s="8"/>
      <c r="D47" s="8"/>
      <c r="E47" s="8"/>
      <c r="F47" s="8"/>
    </row>
    <row r="48" spans="1:11" x14ac:dyDescent="0.3">
      <c r="A48" s="8"/>
      <c r="B48" s="8"/>
      <c r="C48" s="8"/>
      <c r="D48" s="8"/>
      <c r="E48" s="8"/>
      <c r="F48" s="8"/>
    </row>
    <row r="49" spans="1:6" x14ac:dyDescent="0.3">
      <c r="A49" s="8"/>
      <c r="B49" s="8"/>
      <c r="C49" s="8"/>
      <c r="D49" s="8"/>
      <c r="E49" s="8"/>
      <c r="F49" s="8"/>
    </row>
    <row r="50" spans="1:6" x14ac:dyDescent="0.3">
      <c r="A50" s="8"/>
      <c r="B50" s="8"/>
      <c r="C50" s="8"/>
      <c r="D50" s="8"/>
      <c r="E50" s="8"/>
      <c r="F50" s="8"/>
    </row>
    <row r="51" spans="1:6" x14ac:dyDescent="0.3">
      <c r="A51" s="8"/>
      <c r="B51" s="8"/>
      <c r="C51" s="8"/>
      <c r="D51" s="8"/>
      <c r="E51" s="8"/>
      <c r="F51" s="8"/>
    </row>
    <row r="52" spans="1:6" x14ac:dyDescent="0.3">
      <c r="A52" s="8"/>
      <c r="B52" s="8"/>
      <c r="C52" s="8"/>
      <c r="D52" s="8"/>
      <c r="E52" s="8"/>
      <c r="F52" s="8"/>
    </row>
    <row r="53" spans="1:6" x14ac:dyDescent="0.3">
      <c r="A53" s="8"/>
      <c r="B53" s="8"/>
      <c r="C53" s="8"/>
      <c r="D53" s="8"/>
      <c r="E53" s="8"/>
      <c r="F53" s="8"/>
    </row>
    <row r="54" spans="1:6" x14ac:dyDescent="0.3">
      <c r="A54" s="8"/>
      <c r="B54" s="8"/>
      <c r="C54" s="8"/>
      <c r="D54" s="8"/>
      <c r="E54" s="8"/>
      <c r="F54" s="8"/>
    </row>
    <row r="55" spans="1:6" x14ac:dyDescent="0.3">
      <c r="A55" s="8"/>
      <c r="B55" s="8"/>
      <c r="C55" s="8"/>
      <c r="D55" s="8"/>
      <c r="E55" s="8"/>
      <c r="F55" s="8"/>
    </row>
  </sheetData>
  <mergeCells count="16">
    <mergeCell ref="G3:H3"/>
    <mergeCell ref="I3:J3"/>
    <mergeCell ref="A1:D1"/>
    <mergeCell ref="G1:H1"/>
    <mergeCell ref="I1:J1"/>
    <mergeCell ref="G2:H2"/>
    <mergeCell ref="I2:J2"/>
    <mergeCell ref="F18:K22"/>
    <mergeCell ref="L18:R19"/>
    <mergeCell ref="G4:H4"/>
    <mergeCell ref="I4:J4"/>
    <mergeCell ref="F5:K5"/>
    <mergeCell ref="F6:K6"/>
    <mergeCell ref="F9:G9"/>
    <mergeCell ref="H9:I9"/>
    <mergeCell ref="J9:K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阻尼震盪</vt:lpstr>
      <vt:lpstr>RLC 交流電路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2025-03-06T01:42:13Z</dcterms:created>
  <dcterms:modified xsi:type="dcterms:W3CDTF">2026-03-09T04:53:55Z</dcterms:modified>
</cp:coreProperties>
</file>