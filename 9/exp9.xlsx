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凱翔淵\彭靖翔\成功大學\成大電機\課程\大一下\普物實驗二\普物實驗程式輔助分析\9\"/>
    </mc:Choice>
  </mc:AlternateContent>
  <bookViews>
    <workbookView xWindow="0" yWindow="0" windowWidth="24686" windowHeight="9129" activeTab="1"/>
  </bookViews>
  <sheets>
    <sheet name="編號1最小偏向角" sheetId="2" r:id="rId1"/>
    <sheet name="編號 1~8最小偏向角" sheetId="1" r:id="rId2"/>
    <sheet name="工作表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" i="1" l="1"/>
  <c r="I9" i="1" l="1"/>
  <c r="I8" i="1"/>
  <c r="I7" i="1"/>
  <c r="I6" i="1"/>
  <c r="I5" i="1"/>
  <c r="I4" i="1"/>
  <c r="I3" i="1"/>
  <c r="I2" i="1"/>
  <c r="D23" i="3"/>
  <c r="E23" i="3" s="1"/>
  <c r="F23" i="3" s="1"/>
  <c r="D22" i="3"/>
  <c r="E22" i="3" s="1"/>
  <c r="F22" i="3" s="1"/>
  <c r="D21" i="3"/>
  <c r="E21" i="3" s="1"/>
  <c r="F21" i="3" s="1"/>
  <c r="D20" i="3"/>
  <c r="E20" i="3" s="1"/>
  <c r="F20" i="3" s="1"/>
  <c r="D19" i="3"/>
  <c r="E19" i="3" s="1"/>
  <c r="F19" i="3" s="1"/>
  <c r="D51" i="3"/>
  <c r="D50" i="3"/>
  <c r="E50" i="3" s="1"/>
  <c r="F50" i="3" s="1"/>
  <c r="D49" i="3"/>
  <c r="D48" i="3"/>
  <c r="E48" i="3" s="1"/>
  <c r="F48" i="3" s="1"/>
  <c r="D47" i="3"/>
  <c r="E47" i="3" s="1"/>
  <c r="F47" i="3" s="1"/>
  <c r="D44" i="3"/>
  <c r="D43" i="3"/>
  <c r="D42" i="3"/>
  <c r="D41" i="3"/>
  <c r="D40" i="3"/>
  <c r="E40" i="3" s="1"/>
  <c r="F40" i="3" s="1"/>
  <c r="D37" i="3"/>
  <c r="D36" i="3"/>
  <c r="D35" i="3"/>
  <c r="E35" i="3" s="1"/>
  <c r="F35" i="3" s="1"/>
  <c r="D34" i="3"/>
  <c r="E34" i="3" s="1"/>
  <c r="F34" i="3" s="1"/>
  <c r="D33" i="3"/>
  <c r="E33" i="3" s="1"/>
  <c r="F33" i="3" s="1"/>
  <c r="D30" i="3"/>
  <c r="E30" i="3" s="1"/>
  <c r="F30" i="3" s="1"/>
  <c r="D29" i="3"/>
  <c r="E29" i="3" s="1"/>
  <c r="F29" i="3" s="1"/>
  <c r="D28" i="3"/>
  <c r="D27" i="3"/>
  <c r="D26" i="3"/>
  <c r="D16" i="3"/>
  <c r="D15" i="3"/>
  <c r="D14" i="3"/>
  <c r="D13" i="3"/>
  <c r="D12" i="3"/>
  <c r="E12" i="3" s="1"/>
  <c r="F12" i="3" s="1"/>
  <c r="D6" i="3"/>
  <c r="D9" i="3"/>
  <c r="D7" i="3"/>
  <c r="E14" i="3" s="1"/>
  <c r="F14" i="3" s="1"/>
  <c r="E7" i="3"/>
  <c r="F7" i="3" s="1"/>
  <c r="D8" i="3"/>
  <c r="F5" i="1"/>
  <c r="G5" i="1" s="1"/>
  <c r="E6" i="1"/>
  <c r="F6" i="1" s="1"/>
  <c r="G6" i="1" s="1"/>
  <c r="E7" i="1"/>
  <c r="F7" i="1" s="1"/>
  <c r="G7" i="1" s="1"/>
  <c r="E8" i="1"/>
  <c r="F8" i="1" s="1"/>
  <c r="G8" i="1" s="1"/>
  <c r="E9" i="1"/>
  <c r="F9" i="1" s="1"/>
  <c r="G9" i="1" s="1"/>
  <c r="K2" i="1"/>
  <c r="E16" i="1"/>
  <c r="F16" i="1" s="1"/>
  <c r="G16" i="1" s="1"/>
  <c r="E17" i="1"/>
  <c r="F17" i="1" s="1"/>
  <c r="G17" i="1" s="1"/>
  <c r="E18" i="1"/>
  <c r="F18" i="1" s="1"/>
  <c r="G18" i="1" s="1"/>
  <c r="E19" i="1"/>
  <c r="F19" i="1"/>
  <c r="G19" i="1" s="1"/>
  <c r="E20" i="1"/>
  <c r="F20" i="1" s="1"/>
  <c r="G20" i="1" s="1"/>
  <c r="D22" i="1"/>
  <c r="K3" i="1" s="1"/>
  <c r="E23" i="1"/>
  <c r="F23" i="1" s="1"/>
  <c r="G23" i="1" s="1"/>
  <c r="E24" i="1"/>
  <c r="F24" i="1" s="1"/>
  <c r="G24" i="1" s="1"/>
  <c r="E25" i="1"/>
  <c r="F25" i="1" s="1"/>
  <c r="G25" i="1" s="1"/>
  <c r="E26" i="1"/>
  <c r="F26" i="1" s="1"/>
  <c r="G26" i="1" s="1"/>
  <c r="E27" i="1"/>
  <c r="F27" i="1" s="1"/>
  <c r="G27" i="1" s="1"/>
  <c r="D29" i="1"/>
  <c r="K4" i="1" s="1"/>
  <c r="E30" i="1"/>
  <c r="F30" i="1" s="1"/>
  <c r="G30" i="1" s="1"/>
  <c r="E31" i="1"/>
  <c r="F31" i="1" s="1"/>
  <c r="G31" i="1" s="1"/>
  <c r="E32" i="1"/>
  <c r="F32" i="1" s="1"/>
  <c r="G32" i="1" s="1"/>
  <c r="E33" i="1"/>
  <c r="F33" i="1" s="1"/>
  <c r="G33" i="1" s="1"/>
  <c r="E34" i="1"/>
  <c r="F34" i="1" s="1"/>
  <c r="G34" i="1" s="1"/>
  <c r="D36" i="1"/>
  <c r="K5" i="1" s="1"/>
  <c r="E37" i="1"/>
  <c r="F37" i="1" s="1"/>
  <c r="G37" i="1" s="1"/>
  <c r="E38" i="1"/>
  <c r="F38" i="1" s="1"/>
  <c r="G38" i="1" s="1"/>
  <c r="E39" i="1"/>
  <c r="F39" i="1" s="1"/>
  <c r="G39" i="1" s="1"/>
  <c r="E40" i="1"/>
  <c r="F40" i="1" s="1"/>
  <c r="G40" i="1" s="1"/>
  <c r="E41" i="1"/>
  <c r="F41" i="1" s="1"/>
  <c r="G41" i="1" s="1"/>
  <c r="D43" i="1"/>
  <c r="K6" i="1" s="1"/>
  <c r="E44" i="1"/>
  <c r="F44" i="1" s="1"/>
  <c r="G44" i="1" s="1"/>
  <c r="E45" i="1"/>
  <c r="F45" i="1" s="1"/>
  <c r="G45" i="1" s="1"/>
  <c r="E46" i="1"/>
  <c r="F46" i="1"/>
  <c r="G46" i="1" s="1"/>
  <c r="E47" i="1"/>
  <c r="F47" i="1" s="1"/>
  <c r="G47" i="1" s="1"/>
  <c r="E48" i="1"/>
  <c r="F48" i="1" s="1"/>
  <c r="G48" i="1" s="1"/>
  <c r="D50" i="1"/>
  <c r="K7" i="1" s="1"/>
  <c r="E51" i="1"/>
  <c r="F51" i="1" s="1"/>
  <c r="G51" i="1" s="1"/>
  <c r="E52" i="1"/>
  <c r="F52" i="1" s="1"/>
  <c r="G52" i="1" s="1"/>
  <c r="E53" i="1"/>
  <c r="F53" i="1" s="1"/>
  <c r="G53" i="1" s="1"/>
  <c r="E54" i="1"/>
  <c r="F54" i="1" s="1"/>
  <c r="G54" i="1" s="1"/>
  <c r="E55" i="1"/>
  <c r="F55" i="1" s="1"/>
  <c r="G55" i="1" s="1"/>
  <c r="D57" i="1"/>
  <c r="K8" i="1" s="1"/>
  <c r="E58" i="1"/>
  <c r="F58" i="1" s="1"/>
  <c r="G58" i="1" s="1"/>
  <c r="E59" i="1"/>
  <c r="F59" i="1" s="1"/>
  <c r="G59" i="1" s="1"/>
  <c r="E60" i="1"/>
  <c r="F60" i="1" s="1"/>
  <c r="G60" i="1" s="1"/>
  <c r="E61" i="1"/>
  <c r="F61" i="1" s="1"/>
  <c r="G61" i="1" s="1"/>
  <c r="E62" i="1"/>
  <c r="F62" i="1"/>
  <c r="G62" i="1" s="1"/>
  <c r="D64" i="1"/>
  <c r="K9" i="1" s="1"/>
  <c r="C53" i="3"/>
  <c r="E51" i="3"/>
  <c r="F51" i="3" s="1"/>
  <c r="E49" i="3"/>
  <c r="F49" i="3" s="1"/>
  <c r="C46" i="3"/>
  <c r="E44" i="3"/>
  <c r="F44" i="3" s="1"/>
  <c r="E43" i="3"/>
  <c r="F43" i="3" s="1"/>
  <c r="E42" i="3"/>
  <c r="F42" i="3" s="1"/>
  <c r="E41" i="3"/>
  <c r="F41" i="3" s="1"/>
  <c r="C39" i="3"/>
  <c r="E37" i="3"/>
  <c r="F37" i="3" s="1"/>
  <c r="E36" i="3"/>
  <c r="F36" i="3" s="1"/>
  <c r="C32" i="3"/>
  <c r="E28" i="3"/>
  <c r="F28" i="3" s="1"/>
  <c r="E27" i="3"/>
  <c r="F27" i="3" s="1"/>
  <c r="E26" i="3"/>
  <c r="F26" i="3" s="1"/>
  <c r="C25" i="3"/>
  <c r="C18" i="3"/>
  <c r="C11" i="3"/>
  <c r="E5" i="3"/>
  <c r="F5" i="3" s="1"/>
  <c r="C11" i="2"/>
  <c r="D56" i="1" l="1"/>
  <c r="E16" i="3"/>
  <c r="F16" i="3" s="1"/>
  <c r="E15" i="3"/>
  <c r="F15" i="3" s="1"/>
  <c r="E13" i="3"/>
  <c r="F13" i="3" s="1"/>
  <c r="C17" i="3" s="1"/>
  <c r="F18" i="3" s="1"/>
  <c r="E6" i="3"/>
  <c r="F6" i="3" s="1"/>
  <c r="E8" i="3"/>
  <c r="F8" i="3" s="1"/>
  <c r="E9" i="3"/>
  <c r="F9" i="3" s="1"/>
  <c r="D10" i="1"/>
  <c r="G10" i="1"/>
  <c r="D28" i="1"/>
  <c r="G28" i="1"/>
  <c r="D49" i="1"/>
  <c r="G49" i="1"/>
  <c r="D21" i="1"/>
  <c r="G21" i="1"/>
  <c r="D35" i="1"/>
  <c r="G35" i="1"/>
  <c r="G63" i="1"/>
  <c r="G42" i="1"/>
  <c r="D42" i="1"/>
  <c r="G56" i="1"/>
  <c r="D63" i="1"/>
  <c r="F31" i="3"/>
  <c r="C31" i="3"/>
  <c r="F32" i="3" s="1"/>
  <c r="F52" i="3"/>
  <c r="C52" i="3"/>
  <c r="F53" i="3" s="1"/>
  <c r="F24" i="3"/>
  <c r="C24" i="3"/>
  <c r="F25" i="3" s="1"/>
  <c r="F45" i="3"/>
  <c r="C45" i="3"/>
  <c r="F46" i="3" s="1"/>
  <c r="C38" i="3"/>
  <c r="F39" i="3" s="1"/>
  <c r="F38" i="3"/>
  <c r="G43" i="1" l="1"/>
  <c r="J6" i="1"/>
  <c r="G64" i="1"/>
  <c r="J9" i="1"/>
  <c r="G36" i="1"/>
  <c r="J5" i="1"/>
  <c r="G22" i="1"/>
  <c r="J3" i="1"/>
  <c r="G29" i="1"/>
  <c r="J4" i="1"/>
  <c r="G50" i="1"/>
  <c r="J7" i="1"/>
  <c r="G57" i="1"/>
  <c r="J8" i="1"/>
  <c r="G11" i="1"/>
  <c r="J2" i="1"/>
  <c r="F17" i="3"/>
  <c r="C10" i="3"/>
  <c r="F11" i="3" s="1"/>
  <c r="F10" i="3"/>
  <c r="E5" i="2" l="1"/>
  <c r="F5" i="2" l="1"/>
  <c r="D9" i="2"/>
  <c r="E9" i="2" s="1"/>
  <c r="F9" i="2" s="1"/>
  <c r="D8" i="2"/>
  <c r="E8" i="2" s="1"/>
  <c r="F8" i="2" s="1"/>
  <c r="D7" i="2"/>
  <c r="E7" i="2" s="1"/>
  <c r="F7" i="2" s="1"/>
  <c r="D6" i="2"/>
  <c r="E6" i="2" s="1"/>
  <c r="F6" i="2" s="1"/>
  <c r="F10" i="2" l="1"/>
  <c r="C10" i="2"/>
  <c r="F11" i="2" s="1"/>
</calcChain>
</file>

<file path=xl/sharedStrings.xml><?xml version="1.0" encoding="utf-8"?>
<sst xmlns="http://schemas.openxmlformats.org/spreadsheetml/2006/main" count="131" uniqueCount="39">
  <si>
    <r>
      <t>波長 λ (</t>
    </r>
    <r>
      <rPr>
        <sz val="12"/>
        <color theme="1"/>
        <rFont val="Segoe UI Symbol"/>
        <family val="4"/>
      </rPr>
      <t>Å</t>
    </r>
    <r>
      <rPr>
        <sz val="12"/>
        <color theme="1"/>
        <rFont val="標楷體"/>
        <family val="4"/>
        <charset val="136"/>
      </rPr>
      <t>)</t>
    </r>
    <phoneticPr fontId="1" type="noConversion"/>
  </si>
  <si>
    <t>編號 1</t>
    <phoneticPr fontId="1" type="noConversion"/>
  </si>
  <si>
    <t>N (6908) =</t>
    <phoneticPr fontId="1" type="noConversion"/>
  </si>
  <si>
    <t>n</t>
    <phoneticPr fontId="1" type="noConversion"/>
  </si>
  <si>
    <r>
      <t>d</t>
    </r>
    <r>
      <rPr>
        <vertAlign val="subscript"/>
        <sz val="12"/>
        <color theme="1"/>
        <rFont val="標楷體"/>
        <family val="4"/>
        <charset val="136"/>
      </rPr>
      <t>1</t>
    </r>
    <r>
      <rPr>
        <sz val="12"/>
        <color theme="1"/>
        <rFont val="標楷體"/>
        <family val="4"/>
        <charset val="136"/>
      </rPr>
      <t>(°)</t>
    </r>
    <phoneticPr fontId="1" type="noConversion"/>
  </si>
  <si>
    <r>
      <t>d</t>
    </r>
    <r>
      <rPr>
        <vertAlign val="subscript"/>
        <sz val="12"/>
        <color theme="1"/>
        <rFont val="標楷體"/>
        <family val="4"/>
        <charset val="136"/>
      </rPr>
      <t>2</t>
    </r>
    <r>
      <rPr>
        <sz val="12"/>
        <color theme="1"/>
        <rFont val="標楷體"/>
        <family val="4"/>
        <charset val="136"/>
      </rPr>
      <t>(°)</t>
    </r>
    <phoneticPr fontId="1" type="noConversion"/>
  </si>
  <si>
    <t>D(°)</t>
    <phoneticPr fontId="1" type="noConversion"/>
  </si>
  <si>
    <t>標準差 =</t>
    <phoneticPr fontId="1" type="noConversion"/>
  </si>
  <si>
    <t>誤差(%) =</t>
    <phoneticPr fontId="1" type="noConversion"/>
  </si>
  <si>
    <t>理論值 =</t>
    <phoneticPr fontId="1" type="noConversion"/>
  </si>
  <si>
    <t>編號 2</t>
    <phoneticPr fontId="1" type="noConversion"/>
  </si>
  <si>
    <t>編號 3</t>
    <phoneticPr fontId="1" type="noConversion"/>
  </si>
  <si>
    <t>編號 4</t>
    <phoneticPr fontId="1" type="noConversion"/>
  </si>
  <si>
    <t>編號 5</t>
    <phoneticPr fontId="1" type="noConversion"/>
  </si>
  <si>
    <t>編號 6</t>
    <phoneticPr fontId="1" type="noConversion"/>
  </si>
  <si>
    <t>編號 7</t>
    <phoneticPr fontId="1" type="noConversion"/>
  </si>
  <si>
    <t>編號 8</t>
    <phoneticPr fontId="1" type="noConversion"/>
  </si>
  <si>
    <t>Sellmeier係數:</t>
    <phoneticPr fontId="1" type="noConversion"/>
  </si>
  <si>
    <t>B3</t>
  </si>
  <si>
    <t xml:space="preserve">C1 </t>
    <phoneticPr fontId="1" type="noConversion"/>
  </si>
  <si>
    <t xml:space="preserve">C2 </t>
    <phoneticPr fontId="1" type="noConversion"/>
  </si>
  <si>
    <t>C3</t>
  </si>
  <si>
    <t xml:space="preserve">B2 </t>
    <phoneticPr fontId="1" type="noConversion"/>
  </si>
  <si>
    <t>B1</t>
    <phoneticPr fontId="1" type="noConversion"/>
  </si>
  <si>
    <r>
      <t>d</t>
    </r>
    <r>
      <rPr>
        <vertAlign val="subscript"/>
        <sz val="12"/>
        <color theme="1"/>
        <rFont val="標楷體"/>
        <family val="4"/>
        <charset val="136"/>
      </rPr>
      <t>1</t>
    </r>
    <r>
      <rPr>
        <sz val="12"/>
        <color theme="1"/>
        <rFont val="標楷體"/>
        <family val="4"/>
        <charset val="136"/>
      </rPr>
      <t>(°)</t>
    </r>
    <phoneticPr fontId="1" type="noConversion"/>
  </si>
  <si>
    <t>編號 1</t>
    <phoneticPr fontId="1" type="noConversion"/>
  </si>
  <si>
    <t>理論值 =</t>
    <phoneticPr fontId="1" type="noConversion"/>
  </si>
  <si>
    <r>
      <t>波長 λ (</t>
    </r>
    <r>
      <rPr>
        <sz val="12"/>
        <color theme="1"/>
        <rFont val="MS Gothic"/>
        <family val="3"/>
        <charset val="128"/>
      </rPr>
      <t>Å</t>
    </r>
    <r>
      <rPr>
        <sz val="12"/>
        <color theme="1"/>
        <rFont val="標楷體"/>
        <family val="4"/>
        <charset val="136"/>
      </rPr>
      <t>)</t>
    </r>
  </si>
  <si>
    <r>
      <t>波長 λ (</t>
    </r>
    <r>
      <rPr>
        <sz val="12"/>
        <color theme="1"/>
        <rFont val="MS Gothic"/>
        <family val="3"/>
        <charset val="128"/>
      </rPr>
      <t>Å</t>
    </r>
    <r>
      <rPr>
        <sz val="12"/>
        <color theme="1"/>
        <rFont val="標楷體"/>
        <family val="4"/>
        <charset val="136"/>
      </rPr>
      <t>)</t>
    </r>
    <phoneticPr fontId="1" type="noConversion"/>
  </si>
  <si>
    <t>n</t>
    <phoneticPr fontId="1" type="noConversion"/>
  </si>
  <si>
    <t>理論值</t>
  </si>
  <si>
    <r>
      <t>波長 λ (</t>
    </r>
    <r>
      <rPr>
        <sz val="12"/>
        <color theme="1"/>
        <rFont val="MS Gothic"/>
        <family val="3"/>
        <charset val="128"/>
      </rPr>
      <t>Å</t>
    </r>
    <r>
      <rPr>
        <sz val="12"/>
        <color theme="1"/>
        <rFont val="標楷體"/>
        <family val="4"/>
        <charset val="136"/>
      </rPr>
      <t>)</t>
    </r>
    <phoneticPr fontId="1" type="noConversion"/>
  </si>
  <si>
    <t>N (6234) =</t>
    <phoneticPr fontId="1" type="noConversion"/>
  </si>
  <si>
    <t>N (5791) =</t>
    <phoneticPr fontId="1" type="noConversion"/>
  </si>
  <si>
    <t>N (5461) =</t>
    <phoneticPr fontId="1" type="noConversion"/>
  </si>
  <si>
    <t>N (4916) =</t>
    <phoneticPr fontId="1" type="noConversion"/>
  </si>
  <si>
    <t>N (4358) =</t>
    <phoneticPr fontId="1" type="noConversion"/>
  </si>
  <si>
    <t>N (4078) =</t>
    <phoneticPr fontId="1" type="noConversion"/>
  </si>
  <si>
    <t>N (4047) =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</si>
</sst>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"/>
  </numFmts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Segoe UI Symbol"/>
      <family val="4"/>
    </font>
    <font>
      <vertAlign val="subscript"/>
      <sz val="12"/>
      <color theme="1"/>
      <name val="標楷體"/>
      <family val="4"/>
      <charset val="136"/>
    </font>
    <font>
      <sz val="12"/>
      <color theme="1"/>
      <name val="新細明體"/>
      <family val="1"/>
      <charset val="136"/>
      <scheme val="minor"/>
    </font>
    <font>
      <sz val="12"/>
      <color theme="1"/>
      <name val="MS 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auto="1"/>
      </bottom>
      <diagonal/>
    </border>
    <border>
      <left/>
      <right style="thick">
        <color indexed="64"/>
      </right>
      <top style="thick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2" borderId="4" xfId="0" applyNumberFormat="1" applyFont="1" applyFill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0" fillId="0" borderId="24" xfId="0" applyBorder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altLang="zh-TW" sz="1400" b="0" i="0" u="none" strike="noStrike" baseline="0">
                <a:ea typeface="標楷體" panose="03000509000000000000" pitchFamily="65" charset="-120"/>
              </a:rPr>
              <a:t>λ-</a:t>
            </a:r>
            <a:r>
              <a:rPr lang="en-US" altLang="zh-TW" sz="1400" b="0" i="0" u="none" strike="noStrike" baseline="0">
                <a:latin typeface="標楷體" panose="03000509000000000000" pitchFamily="65" charset="-120"/>
                <a:ea typeface="標楷體" panose="03000509000000000000" pitchFamily="65" charset="-120"/>
              </a:rPr>
              <a:t>n </a:t>
            </a:r>
            <a:r>
              <a:rPr lang="zh-TW" altLang="en-US" sz="1400" b="0" i="0" u="none" strike="noStrike" baseline="0">
                <a:latin typeface="標楷體" panose="03000509000000000000" pitchFamily="65" charset="-120"/>
                <a:ea typeface="標楷體" panose="03000509000000000000" pitchFamily="65" charset="-120"/>
              </a:rPr>
              <a:t>圖</a:t>
            </a:r>
            <a:endParaRPr lang="zh-TW" altLang="en-US">
              <a:latin typeface="標楷體" panose="03000509000000000000" pitchFamily="65" charset="-120"/>
              <a:ea typeface="標楷體" panose="03000509000000000000" pitchFamily="65" charset="-120"/>
            </a:endParaRPr>
          </a:p>
        </c:rich>
      </c:tx>
      <c:layout>
        <c:manualLayout>
          <c:xMode val="edge"/>
          <c:yMode val="edge"/>
          <c:x val="0.4748888888888889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6919002178549064"/>
          <c:y val="0.20469896308445334"/>
          <c:w val="0.77203040244969379"/>
          <c:h val="0.61426727909011369"/>
        </c:manualLayout>
      </c:layout>
      <c:scatterChart>
        <c:scatterStyle val="smoothMarker"/>
        <c:varyColors val="0"/>
        <c:ser>
          <c:idx val="0"/>
          <c:order val="0"/>
          <c:tx>
            <c:v>理論值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'編號 1~8最小偏向角'!$I$2:$I$9</c:f>
              <c:numCache>
                <c:formatCode>General</c:formatCode>
                <c:ptCount val="8"/>
                <c:pt idx="0">
                  <c:v>6908</c:v>
                </c:pt>
                <c:pt idx="1">
                  <c:v>6234</c:v>
                </c:pt>
                <c:pt idx="2">
                  <c:v>5791</c:v>
                </c:pt>
                <c:pt idx="3">
                  <c:v>5461</c:v>
                </c:pt>
                <c:pt idx="4">
                  <c:v>4916</c:v>
                </c:pt>
                <c:pt idx="5">
                  <c:v>4358</c:v>
                </c:pt>
                <c:pt idx="6">
                  <c:v>4078</c:v>
                </c:pt>
                <c:pt idx="7">
                  <c:v>4047</c:v>
                </c:pt>
              </c:numCache>
            </c:numRef>
          </c:xVal>
          <c:yVal>
            <c:numRef>
              <c:f>'編號 1~8最小偏向角'!$K$2:$K$9</c:f>
              <c:numCache>
                <c:formatCode>0.0000</c:formatCode>
                <c:ptCount val="8"/>
                <c:pt idx="0">
                  <c:v>1.7726193127985657</c:v>
                </c:pt>
                <c:pt idx="1">
                  <c:v>1.7797701290425256</c:v>
                </c:pt>
                <c:pt idx="2">
                  <c:v>1.7860420163139104</c:v>
                </c:pt>
                <c:pt idx="3">
                  <c:v>1.7918938900179449</c:v>
                </c:pt>
                <c:pt idx="4">
                  <c:v>1.8048490063636622</c:v>
                </c:pt>
                <c:pt idx="5">
                  <c:v>1.8251974418745132</c:v>
                </c:pt>
                <c:pt idx="6">
                  <c:v>1.8401150459324036</c:v>
                </c:pt>
                <c:pt idx="7">
                  <c:v>1.8420526911940456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CE-4016-8111-065097FE22FC}"/>
            </c:ext>
          </c:extLst>
        </c:ser>
        <c:ser>
          <c:idx val="1"/>
          <c:order val="1"/>
          <c:tx>
            <c:v>實驗值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'編號 1~8最小偏向角'!$I$2:$I$9</c:f>
              <c:numCache>
                <c:formatCode>General</c:formatCode>
                <c:ptCount val="8"/>
                <c:pt idx="0">
                  <c:v>6908</c:v>
                </c:pt>
                <c:pt idx="1">
                  <c:v>6234</c:v>
                </c:pt>
                <c:pt idx="2">
                  <c:v>5791</c:v>
                </c:pt>
                <c:pt idx="3">
                  <c:v>5461</c:v>
                </c:pt>
                <c:pt idx="4">
                  <c:v>4916</c:v>
                </c:pt>
                <c:pt idx="5">
                  <c:v>4358</c:v>
                </c:pt>
                <c:pt idx="6">
                  <c:v>4078</c:v>
                </c:pt>
                <c:pt idx="7">
                  <c:v>4047</c:v>
                </c:pt>
              </c:numCache>
            </c:numRef>
          </c:xVal>
          <c:yVal>
            <c:numRef>
              <c:f>'編號 1~8最小偏向角'!$J$2:$J$9</c:f>
              <c:numCache>
                <c:formatCode>0.0000</c:formatCode>
                <c:ptCount val="8"/>
                <c:pt idx="0">
                  <c:v>1.7714775804155369</c:v>
                </c:pt>
                <c:pt idx="1">
                  <c:v>1.775742808537536</c:v>
                </c:pt>
                <c:pt idx="2">
                  <c:v>1.7822661050239028</c:v>
                </c:pt>
                <c:pt idx="3">
                  <c:v>1.7885427577113358</c:v>
                </c:pt>
                <c:pt idx="4">
                  <c:v>1.8001966894414685</c:v>
                </c:pt>
                <c:pt idx="5">
                  <c:v>1.8209631520701115</c:v>
                </c:pt>
                <c:pt idx="6">
                  <c:v>1.836574970408146</c:v>
                </c:pt>
                <c:pt idx="7">
                  <c:v>1.838462774820411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CE-4016-8111-065097FE2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940319"/>
        <c:axId val="695930239"/>
      </c:scatterChart>
      <c:valAx>
        <c:axId val="695940319"/>
        <c:scaling>
          <c:orientation val="minMax"/>
          <c:min val="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a typeface="標楷體" panose="03000509000000000000" pitchFamily="65" charset="-120"/>
                  </a:rPr>
                  <a:t>λ</a:t>
                </a: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a typeface="標楷體" panose="03000509000000000000" pitchFamily="65" charset="-120"/>
                  </a:rPr>
                  <a:t>(Å)</a:t>
                </a:r>
                <a:endParaRPr lang="zh-TW" altLang="en-US">
                  <a:latin typeface="標楷體" panose="03000509000000000000" pitchFamily="65" charset="-120"/>
                  <a:ea typeface="標楷體" panose="03000509000000000000" pitchFamily="65" charset="-12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95930239"/>
        <c:crosses val="autoZero"/>
        <c:crossBetween val="midCat"/>
      </c:valAx>
      <c:valAx>
        <c:axId val="69593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>
                    <a:latin typeface="標楷體" panose="03000509000000000000" pitchFamily="65" charset="-120"/>
                    <a:ea typeface="標楷體" panose="03000509000000000000" pitchFamily="65" charset="-120"/>
                  </a:rPr>
                  <a:t>n</a:t>
                </a:r>
                <a:endParaRPr lang="zh-TW" altLang="en-US">
                  <a:latin typeface="標楷體" panose="03000509000000000000" pitchFamily="65" charset="-120"/>
                  <a:ea typeface="標楷體" panose="03000509000000000000" pitchFamily="65" charset="-12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95940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944444444444442"/>
          <c:y val="1.7244823563721205E-2"/>
          <c:w val="0.1583333333333333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526401</xdr:colOff>
      <xdr:row>2</xdr:row>
      <xdr:rowOff>34962</xdr:rowOff>
    </xdr:from>
    <xdr:to>
      <xdr:col>19</xdr:col>
      <xdr:colOff>327660</xdr:colOff>
      <xdr:row>18</xdr:row>
      <xdr:rowOff>53339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4001337-3BEE-F548-5FAC-9F75A73A5A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zoomScale="145" zoomScaleNormal="145" workbookViewId="0">
      <selection activeCell="H10" sqref="H10"/>
    </sheetView>
  </sheetViews>
  <sheetFormatPr defaultRowHeight="16.75" x14ac:dyDescent="0.45"/>
  <cols>
    <col min="1" max="1" width="13.69140625" customWidth="1"/>
    <col min="2" max="2" width="13.07421875" customWidth="1"/>
    <col min="3" max="3" width="18" customWidth="1"/>
    <col min="4" max="4" width="12.23046875" customWidth="1"/>
    <col min="5" max="5" width="11.84375" customWidth="1"/>
    <col min="6" max="6" width="10.69140625" customWidth="1"/>
  </cols>
  <sheetData>
    <row r="1" spans="1:8" ht="17.149999999999999" thickTop="1" x14ac:dyDescent="0.45">
      <c r="A1" s="23" t="s">
        <v>17</v>
      </c>
      <c r="B1" s="24"/>
      <c r="C1" s="24"/>
      <c r="D1" s="24"/>
      <c r="E1" s="24"/>
      <c r="F1" s="25"/>
    </row>
    <row r="2" spans="1:8" x14ac:dyDescent="0.45">
      <c r="A2" s="15" t="s">
        <v>23</v>
      </c>
      <c r="B2" s="13" t="s">
        <v>22</v>
      </c>
      <c r="C2" s="13" t="s">
        <v>18</v>
      </c>
      <c r="D2" s="13" t="s">
        <v>19</v>
      </c>
      <c r="E2" s="13" t="s">
        <v>20</v>
      </c>
      <c r="F2" s="14" t="s">
        <v>21</v>
      </c>
    </row>
    <row r="3" spans="1:8" x14ac:dyDescent="0.45">
      <c r="A3" s="16">
        <v>1.73848403</v>
      </c>
      <c r="B3" s="17">
        <v>0.31116897399999999</v>
      </c>
      <c r="C3" s="17">
        <v>1.17490871</v>
      </c>
      <c r="D3" s="17">
        <v>1.360686E-2</v>
      </c>
      <c r="E3" s="17">
        <v>6.1596046000000002E-2</v>
      </c>
      <c r="F3" s="18">
        <v>121.92271100000001</v>
      </c>
    </row>
    <row r="4" spans="1:8" ht="19.3" x14ac:dyDescent="0.45">
      <c r="A4" s="26" t="s">
        <v>31</v>
      </c>
      <c r="B4" s="27"/>
      <c r="C4" s="10" t="s">
        <v>24</v>
      </c>
      <c r="D4" s="10" t="s">
        <v>5</v>
      </c>
      <c r="E4" s="10" t="s">
        <v>6</v>
      </c>
      <c r="F4" s="11" t="s">
        <v>3</v>
      </c>
    </row>
    <row r="5" spans="1:8" x14ac:dyDescent="0.45">
      <c r="A5" s="28" t="s">
        <v>25</v>
      </c>
      <c r="B5" s="29">
        <v>6908</v>
      </c>
      <c r="C5" s="5">
        <v>287.33</v>
      </c>
      <c r="D5" s="5">
        <v>351.66</v>
      </c>
      <c r="E5" s="7">
        <f>ABS(C5-D5)</f>
        <v>64.330000000000041</v>
      </c>
      <c r="F5" s="8">
        <f>SIN(RADIANS((E5+60)/2))/SIN(RADIANS(30))</f>
        <v>1.7685918216063305</v>
      </c>
    </row>
    <row r="6" spans="1:8" x14ac:dyDescent="0.45">
      <c r="A6" s="28"/>
      <c r="B6" s="29"/>
      <c r="C6" s="5">
        <v>286.89</v>
      </c>
      <c r="D6" s="7">
        <f xml:space="preserve"> D5</f>
        <v>351.66</v>
      </c>
      <c r="E6" s="7">
        <f>ABS(C6-D6)</f>
        <v>64.770000000000039</v>
      </c>
      <c r="F6" s="8">
        <f>SIN(RADIANS((E6+60)/2))/SIN(RADIANS(30))</f>
        <v>1.7721645164890374</v>
      </c>
      <c r="H6" s="12"/>
    </row>
    <row r="7" spans="1:8" x14ac:dyDescent="0.45">
      <c r="A7" s="28"/>
      <c r="B7" s="29"/>
      <c r="C7" s="5">
        <v>287.20999999999998</v>
      </c>
      <c r="D7" s="7">
        <f xml:space="preserve"> D5</f>
        <v>351.66</v>
      </c>
      <c r="E7" s="7">
        <f>ABS(C7-D7)</f>
        <v>64.450000000000045</v>
      </c>
      <c r="F7" s="8">
        <f>SIN(RADIANS((E7+60)/2))/SIN(RADIANS(30))</f>
        <v>1.769568781128585</v>
      </c>
    </row>
    <row r="8" spans="1:8" x14ac:dyDescent="0.45">
      <c r="A8" s="28"/>
      <c r="B8" s="29"/>
      <c r="C8" s="5">
        <v>287.02999999999997</v>
      </c>
      <c r="D8" s="7">
        <f xml:space="preserve"> D5</f>
        <v>351.66</v>
      </c>
      <c r="E8" s="7">
        <f>ABS(C8-D8)</f>
        <v>64.630000000000052</v>
      </c>
      <c r="F8" s="8">
        <f>SIN(RADIANS((E8+60)/2))/SIN(RADIANS(30))</f>
        <v>1.771030581548118</v>
      </c>
    </row>
    <row r="9" spans="1:8" x14ac:dyDescent="0.45">
      <c r="A9" s="28"/>
      <c r="B9" s="29"/>
      <c r="C9" s="5">
        <v>286.41000000000003</v>
      </c>
      <c r="D9" s="7">
        <f xml:space="preserve"> D5</f>
        <v>351.66</v>
      </c>
      <c r="E9" s="7">
        <f>ABS(C9-D9)</f>
        <v>65.25</v>
      </c>
      <c r="F9" s="8">
        <f>SIN(RADIANS((E9+60)/2))/SIN(RADIANS(30))</f>
        <v>1.7760322013056149</v>
      </c>
    </row>
    <row r="10" spans="1:8" x14ac:dyDescent="0.45">
      <c r="A10" s="28" t="s">
        <v>2</v>
      </c>
      <c r="B10" s="30"/>
      <c r="C10" s="6">
        <f xml:space="preserve"> AVERAGE(F5:F9)</f>
        <v>1.7714775804155369</v>
      </c>
      <c r="D10" s="30" t="s">
        <v>7</v>
      </c>
      <c r="E10" s="30"/>
      <c r="F10" s="8">
        <f xml:space="preserve"> _xlfn.STDEV.P(F5:F9)</f>
        <v>2.5840812383385037E-3</v>
      </c>
    </row>
    <row r="11" spans="1:8" ht="17.149999999999999" thickBot="1" x14ac:dyDescent="0.5">
      <c r="A11" s="21" t="s">
        <v>26</v>
      </c>
      <c r="B11" s="22"/>
      <c r="C11" s="3">
        <f>SQRT(1+(A3*(B5*0.0001)^2)/((B5*0.0001)^2-D3)+(B3*(B5*0.0001)^2)/((B5*0.0001)^2-E3)+(C3*(B5*0.0001)^2)/((B5*0.0001)^2-F3))</f>
        <v>1.7726193127985657</v>
      </c>
      <c r="D11" s="22" t="s">
        <v>8</v>
      </c>
      <c r="E11" s="22"/>
      <c r="F11" s="4">
        <f xml:space="preserve"> ABS((C10-C11)/C11*100)</f>
        <v>6.440933903773105E-2</v>
      </c>
    </row>
    <row r="12" spans="1:8" ht="17.149999999999999" thickTop="1" x14ac:dyDescent="0.45"/>
  </sheetData>
  <mergeCells count="8">
    <mergeCell ref="A11:B11"/>
    <mergeCell ref="D11:E11"/>
    <mergeCell ref="A1:F1"/>
    <mergeCell ref="A4:B4"/>
    <mergeCell ref="A5:A9"/>
    <mergeCell ref="B5:B9"/>
    <mergeCell ref="A10:B10"/>
    <mergeCell ref="D10:E1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65"/>
  <sheetViews>
    <sheetView tabSelected="1" zoomScaleNormal="100" workbookViewId="0">
      <selection activeCell="I20" sqref="I20"/>
    </sheetView>
  </sheetViews>
  <sheetFormatPr defaultColWidth="9.765625" defaultRowHeight="18.649999999999999" customHeight="1" x14ac:dyDescent="0.45"/>
  <cols>
    <col min="1" max="1" width="9.765625" style="1"/>
    <col min="2" max="2" width="12.3046875" style="1" customWidth="1"/>
    <col min="3" max="3" width="13.23046875" style="1" customWidth="1"/>
    <col min="4" max="4" width="11.53515625" style="1" customWidth="1"/>
    <col min="5" max="5" width="12.07421875" style="1" customWidth="1"/>
    <col min="6" max="6" width="12.53515625" style="1" customWidth="1"/>
    <col min="7" max="7" width="11.69140625" style="1" customWidth="1"/>
    <col min="8" max="8" width="9.765625" style="1"/>
    <col min="9" max="9" width="17.53515625" style="1" customWidth="1"/>
    <col min="10" max="16384" width="9.765625" style="1"/>
  </cols>
  <sheetData>
    <row r="1" spans="2:11" ht="18.649999999999999" customHeight="1" thickTop="1" x14ac:dyDescent="0.45">
      <c r="B1" s="23" t="s">
        <v>17</v>
      </c>
      <c r="C1" s="41"/>
      <c r="D1" s="41"/>
      <c r="E1" s="41"/>
      <c r="F1" s="41"/>
      <c r="G1" s="42"/>
      <c r="I1" s="20" t="s">
        <v>27</v>
      </c>
      <c r="J1" s="20" t="s">
        <v>29</v>
      </c>
      <c r="K1" s="20" t="s">
        <v>30</v>
      </c>
    </row>
    <row r="2" spans="2:11" ht="18.649999999999999" customHeight="1" x14ac:dyDescent="0.45">
      <c r="B2" s="15" t="s">
        <v>23</v>
      </c>
      <c r="C2" s="13" t="s">
        <v>22</v>
      </c>
      <c r="D2" s="13" t="s">
        <v>18</v>
      </c>
      <c r="E2" s="13" t="s">
        <v>19</v>
      </c>
      <c r="F2" s="13" t="s">
        <v>20</v>
      </c>
      <c r="G2" s="19" t="s">
        <v>21</v>
      </c>
      <c r="I2" s="20">
        <f>C5</f>
        <v>6908</v>
      </c>
      <c r="J2" s="6">
        <f>D10</f>
        <v>1.7714775804155369</v>
      </c>
      <c r="K2" s="6">
        <f>D11</f>
        <v>1.7726193127985657</v>
      </c>
    </row>
    <row r="3" spans="2:11" ht="18.649999999999999" customHeight="1" thickBot="1" x14ac:dyDescent="0.5">
      <c r="B3" s="16">
        <v>1.73848403</v>
      </c>
      <c r="C3" s="17">
        <v>0.31116897399999999</v>
      </c>
      <c r="D3" s="17">
        <v>1.17490871</v>
      </c>
      <c r="E3" s="17">
        <v>1.360686E-2</v>
      </c>
      <c r="F3" s="17">
        <v>6.1596046000000002E-2</v>
      </c>
      <c r="G3" s="18">
        <v>121.92271100000001</v>
      </c>
      <c r="I3" s="20">
        <f>C16</f>
        <v>6234</v>
      </c>
      <c r="J3" s="6">
        <f>D21</f>
        <v>1.775742808537536</v>
      </c>
      <c r="K3" s="6">
        <f>D22</f>
        <v>1.7797701290425256</v>
      </c>
    </row>
    <row r="4" spans="2:11" ht="18.649999999999999" customHeight="1" thickTop="1" x14ac:dyDescent="0.45">
      <c r="B4" s="45" t="s">
        <v>28</v>
      </c>
      <c r="C4" s="46"/>
      <c r="D4" s="9" t="s">
        <v>4</v>
      </c>
      <c r="E4" s="9" t="s">
        <v>5</v>
      </c>
      <c r="F4" s="9" t="s">
        <v>6</v>
      </c>
      <c r="G4" s="2" t="s">
        <v>3</v>
      </c>
      <c r="I4" s="20">
        <f>C23</f>
        <v>5791</v>
      </c>
      <c r="J4" s="6">
        <f>D28</f>
        <v>1.7822661050239028</v>
      </c>
      <c r="K4" s="6">
        <f>D29</f>
        <v>1.7860420163139104</v>
      </c>
    </row>
    <row r="5" spans="2:11" ht="18.649999999999999" customHeight="1" x14ac:dyDescent="0.45">
      <c r="B5" s="47" t="s">
        <v>1</v>
      </c>
      <c r="C5" s="48">
        <v>6908</v>
      </c>
      <c r="D5" s="5">
        <v>287.33</v>
      </c>
      <c r="E5" s="5">
        <v>351.66</v>
      </c>
      <c r="F5" s="7">
        <f>ABS(D5-E5)</f>
        <v>64.330000000000041</v>
      </c>
      <c r="G5" s="8">
        <f>SIN(RADIANS((F5+60)/2))/SIN(RADIANS(30))</f>
        <v>1.7685918216063305</v>
      </c>
      <c r="I5" s="20">
        <f>C30</f>
        <v>5461</v>
      </c>
      <c r="J5" s="6">
        <f>D35</f>
        <v>1.7885427577113358</v>
      </c>
      <c r="K5" s="6">
        <f>D36</f>
        <v>1.7918938900179449</v>
      </c>
    </row>
    <row r="6" spans="2:11" ht="18.649999999999999" customHeight="1" x14ac:dyDescent="0.45">
      <c r="B6" s="38"/>
      <c r="C6" s="40"/>
      <c r="D6" s="5">
        <v>286.89</v>
      </c>
      <c r="E6" s="7">
        <f xml:space="preserve"> E5</f>
        <v>351.66</v>
      </c>
      <c r="F6" s="7">
        <f>ABS(D6-E6)</f>
        <v>64.770000000000039</v>
      </c>
      <c r="G6" s="8">
        <f>SIN(RADIANS((F6+60)/2))/SIN(RADIANS(30))</f>
        <v>1.7721645164890374</v>
      </c>
      <c r="I6" s="20">
        <f>C37</f>
        <v>4916</v>
      </c>
      <c r="J6" s="6">
        <f>D42</f>
        <v>1.8001966894414685</v>
      </c>
      <c r="K6" s="6">
        <f>D43</f>
        <v>1.8048490063636622</v>
      </c>
    </row>
    <row r="7" spans="2:11" ht="18.649999999999999" customHeight="1" x14ac:dyDescent="0.45">
      <c r="B7" s="38"/>
      <c r="C7" s="40"/>
      <c r="D7" s="5">
        <v>287.20999999999998</v>
      </c>
      <c r="E7" s="7">
        <f xml:space="preserve"> E5</f>
        <v>351.66</v>
      </c>
      <c r="F7" s="7">
        <f>ABS(D7-E7)</f>
        <v>64.450000000000045</v>
      </c>
      <c r="G7" s="8">
        <f>SIN(RADIANS((F7+60)/2))/SIN(RADIANS(30))</f>
        <v>1.769568781128585</v>
      </c>
      <c r="I7" s="20">
        <f>C44</f>
        <v>4358</v>
      </c>
      <c r="J7" s="6">
        <f>D49</f>
        <v>1.8209631520701115</v>
      </c>
      <c r="K7" s="6">
        <f>D50</f>
        <v>1.8251974418745132</v>
      </c>
    </row>
    <row r="8" spans="2:11" ht="18.649999999999999" customHeight="1" x14ac:dyDescent="0.45">
      <c r="B8" s="38"/>
      <c r="C8" s="40"/>
      <c r="D8" s="5">
        <v>287.02999999999997</v>
      </c>
      <c r="E8" s="7">
        <f xml:space="preserve"> E5</f>
        <v>351.66</v>
      </c>
      <c r="F8" s="7">
        <f>ABS(D8-E8)</f>
        <v>64.630000000000052</v>
      </c>
      <c r="G8" s="8">
        <f>SIN(RADIANS((F8+60)/2))/SIN(RADIANS(30))</f>
        <v>1.771030581548118</v>
      </c>
      <c r="I8" s="20">
        <f>C51</f>
        <v>4078</v>
      </c>
      <c r="J8" s="6">
        <f>D56</f>
        <v>1.836574970408146</v>
      </c>
      <c r="K8" s="6">
        <f>D57</f>
        <v>1.8401150459324036</v>
      </c>
    </row>
    <row r="9" spans="2:11" ht="18.649999999999999" customHeight="1" x14ac:dyDescent="0.45">
      <c r="B9" s="26"/>
      <c r="C9" s="27"/>
      <c r="D9" s="5">
        <v>286.41000000000003</v>
      </c>
      <c r="E9" s="7">
        <f xml:space="preserve"> E5</f>
        <v>351.66</v>
      </c>
      <c r="F9" s="7">
        <f>ABS(D9-E9)</f>
        <v>65.25</v>
      </c>
      <c r="G9" s="8">
        <f>SIN(RADIANS((F9+60)/2))/SIN(RADIANS(30))</f>
        <v>1.7760322013056149</v>
      </c>
      <c r="I9" s="20">
        <f>C58</f>
        <v>4047</v>
      </c>
      <c r="J9" s="6">
        <f>D63</f>
        <v>1.838462774820411</v>
      </c>
      <c r="K9" s="6">
        <f>D64</f>
        <v>1.8420526911940456</v>
      </c>
    </row>
    <row r="10" spans="2:11" ht="18.649999999999999" customHeight="1" x14ac:dyDescent="0.45">
      <c r="B10" s="36" t="s">
        <v>2</v>
      </c>
      <c r="C10" s="32"/>
      <c r="D10" s="6">
        <f xml:space="preserve"> AVERAGE(G5:G9)</f>
        <v>1.7714775804155369</v>
      </c>
      <c r="E10" s="31" t="s">
        <v>7</v>
      </c>
      <c r="F10" s="32"/>
      <c r="G10" s="8">
        <f xml:space="preserve"> _xlfn.STDEV.P(G5:G9)</f>
        <v>2.5840812383385037E-3</v>
      </c>
    </row>
    <row r="11" spans="2:11" ht="18.649999999999999" customHeight="1" thickBot="1" x14ac:dyDescent="0.5">
      <c r="B11" s="35" t="s">
        <v>26</v>
      </c>
      <c r="C11" s="34"/>
      <c r="D11" s="3">
        <f>SQRT(1+($B$3*(C5*0.0001)^2)/((C5*0.0001)^2-$E$3)+($C$3*(C5*0.0001)^2)/((C5*0.0001)^2-$F$3)+($D$3*(C5*0.0001)^2)/((C5*0.0001)^2-$G$3))</f>
        <v>1.7726193127985657</v>
      </c>
      <c r="E11" s="33" t="s">
        <v>8</v>
      </c>
      <c r="F11" s="34"/>
      <c r="G11" s="4">
        <f xml:space="preserve"> ABS((D10-D11)/D11*100)</f>
        <v>6.440933903773105E-2</v>
      </c>
    </row>
    <row r="12" spans="2:11" ht="18.649999999999999" customHeight="1" thickTop="1" x14ac:dyDescent="0.45">
      <c r="B12" s="23" t="s">
        <v>17</v>
      </c>
      <c r="C12" s="41"/>
      <c r="D12" s="41"/>
      <c r="E12" s="41"/>
      <c r="F12" s="41"/>
      <c r="G12" s="42"/>
    </row>
    <row r="13" spans="2:11" ht="18.649999999999999" customHeight="1" x14ac:dyDescent="0.45">
      <c r="B13" s="15" t="s">
        <v>23</v>
      </c>
      <c r="C13" s="13" t="s">
        <v>22</v>
      </c>
      <c r="D13" s="13" t="s">
        <v>18</v>
      </c>
      <c r="E13" s="13" t="s">
        <v>19</v>
      </c>
      <c r="F13" s="13" t="s">
        <v>20</v>
      </c>
      <c r="G13" s="19" t="s">
        <v>21</v>
      </c>
    </row>
    <row r="14" spans="2:11" ht="18.649999999999999" customHeight="1" thickBot="1" x14ac:dyDescent="0.5">
      <c r="B14" s="16">
        <v>1.73848403</v>
      </c>
      <c r="C14" s="17">
        <v>0.31116897399999999</v>
      </c>
      <c r="D14" s="17">
        <v>1.17490871</v>
      </c>
      <c r="E14" s="17">
        <v>1.360686E-2</v>
      </c>
      <c r="F14" s="17">
        <v>6.1596046000000002E-2</v>
      </c>
      <c r="G14" s="18">
        <v>121.92271100000001</v>
      </c>
    </row>
    <row r="15" spans="2:11" ht="18.649999999999999" customHeight="1" thickTop="1" thickBot="1" x14ac:dyDescent="0.5">
      <c r="B15" s="43" t="s">
        <v>0</v>
      </c>
      <c r="C15" s="44"/>
      <c r="D15" s="9" t="s">
        <v>4</v>
      </c>
      <c r="E15" s="9" t="s">
        <v>5</v>
      </c>
      <c r="F15" s="9" t="s">
        <v>6</v>
      </c>
      <c r="G15" s="2" t="s">
        <v>3</v>
      </c>
    </row>
    <row r="16" spans="2:11" ht="18.649999999999999" customHeight="1" thickTop="1" x14ac:dyDescent="0.45">
      <c r="B16" s="37" t="s">
        <v>10</v>
      </c>
      <c r="C16" s="39">
        <v>6234</v>
      </c>
      <c r="D16" s="5">
        <v>286.5</v>
      </c>
      <c r="E16" s="7">
        <f xml:space="preserve"> E5</f>
        <v>351.66</v>
      </c>
      <c r="F16" s="7">
        <f>ABS(D16-E16)</f>
        <v>65.160000000000025</v>
      </c>
      <c r="G16" s="8">
        <f>SIN(RADIANS((F16+60)/2))/SIN(RADIANS(30))</f>
        <v>1.7753093820432579</v>
      </c>
    </row>
    <row r="17" spans="2:7" ht="18.649999999999999" customHeight="1" x14ac:dyDescent="0.45">
      <c r="B17" s="38"/>
      <c r="C17" s="40"/>
      <c r="D17" s="5">
        <v>286.39999999999998</v>
      </c>
      <c r="E17" s="7">
        <f xml:space="preserve"> E5</f>
        <v>351.66</v>
      </c>
      <c r="F17" s="7">
        <f>ABS(D17-E17)</f>
        <v>65.260000000000048</v>
      </c>
      <c r="G17" s="8">
        <f>SIN(RADIANS((F17+60)/2))/SIN(RADIANS(30))</f>
        <v>1.7761124469388467</v>
      </c>
    </row>
    <row r="18" spans="2:7" ht="18.649999999999999" customHeight="1" x14ac:dyDescent="0.45">
      <c r="B18" s="38"/>
      <c r="C18" s="40"/>
      <c r="D18" s="5">
        <v>286.45</v>
      </c>
      <c r="E18" s="7">
        <f xml:space="preserve"> E5</f>
        <v>351.66</v>
      </c>
      <c r="F18" s="7">
        <f>ABS(D18-E18)</f>
        <v>65.210000000000036</v>
      </c>
      <c r="G18" s="8">
        <f>SIN(RADIANS((F18+60)/2))/SIN(RADIANS(30))</f>
        <v>1.7757110835262149</v>
      </c>
    </row>
    <row r="19" spans="2:7" ht="18.649999999999999" customHeight="1" x14ac:dyDescent="0.45">
      <c r="B19" s="38"/>
      <c r="C19" s="40"/>
      <c r="D19" s="5">
        <v>286.33</v>
      </c>
      <c r="E19" s="7">
        <f xml:space="preserve"> E5</f>
        <v>351.66</v>
      </c>
      <c r="F19" s="7">
        <f>ABS(D19-E19)</f>
        <v>65.330000000000041</v>
      </c>
      <c r="G19" s="8">
        <f>SIN(RADIANS((F19+60)/2))/SIN(RADIANS(30))</f>
        <v>1.7766737876129055</v>
      </c>
    </row>
    <row r="20" spans="2:7" ht="18.649999999999999" customHeight="1" x14ac:dyDescent="0.45">
      <c r="B20" s="26"/>
      <c r="C20" s="27"/>
      <c r="D20" s="5">
        <v>286.55</v>
      </c>
      <c r="E20" s="7">
        <f xml:space="preserve"> E5</f>
        <v>351.66</v>
      </c>
      <c r="F20" s="7">
        <f>ABS(D20-E20)</f>
        <v>65.110000000000014</v>
      </c>
      <c r="G20" s="8">
        <f>SIN(RADIANS((F20+60)/2))/SIN(RADIANS(30))</f>
        <v>1.7749073425664543</v>
      </c>
    </row>
    <row r="21" spans="2:7" ht="18.649999999999999" customHeight="1" x14ac:dyDescent="0.45">
      <c r="B21" s="36" t="s">
        <v>32</v>
      </c>
      <c r="C21" s="32"/>
      <c r="D21" s="6">
        <f xml:space="preserve"> AVERAGE(G16:G20)</f>
        <v>1.775742808537536</v>
      </c>
      <c r="E21" s="31" t="s">
        <v>7</v>
      </c>
      <c r="F21" s="32"/>
      <c r="G21" s="8">
        <f xml:space="preserve"> _xlfn.STDEV.P(G16:G20)</f>
        <v>6.1485331220061817E-4</v>
      </c>
    </row>
    <row r="22" spans="2:7" ht="18.649999999999999" customHeight="1" thickBot="1" x14ac:dyDescent="0.5">
      <c r="B22" s="35" t="s">
        <v>9</v>
      </c>
      <c r="C22" s="34"/>
      <c r="D22" s="3">
        <f>SQRT(1+($B$3*(C16*0.0001)^2)/((C16*0.0001)^2-$E$3)+($C$3*(C16*0.0001)^2)/((C16*0.0001)^2-$F$3)+($D$3*(C16*0.0001)^2)/((C16*0.0001)^2-$G$3))</f>
        <v>1.7797701290425256</v>
      </c>
      <c r="E22" s="33" t="s">
        <v>8</v>
      </c>
      <c r="F22" s="34"/>
      <c r="G22" s="4">
        <f xml:space="preserve"> ABS((D21-D22)/D22*100)</f>
        <v>0.22628318338819778</v>
      </c>
    </row>
    <row r="23" spans="2:7" ht="18.649999999999999" customHeight="1" thickTop="1" x14ac:dyDescent="0.45">
      <c r="B23" s="37" t="s">
        <v>11</v>
      </c>
      <c r="C23" s="39">
        <v>5791</v>
      </c>
      <c r="D23" s="5">
        <v>285.67</v>
      </c>
      <c r="E23" s="7">
        <f xml:space="preserve"> E5</f>
        <v>351.66</v>
      </c>
      <c r="F23" s="7">
        <f>ABS(D23-E23)</f>
        <v>65.990000000000009</v>
      </c>
      <c r="G23" s="8">
        <f>SIN(RADIANS((F23+60)/2))/SIN(RADIANS(30))</f>
        <v>1.7819338053015015</v>
      </c>
    </row>
    <row r="24" spans="2:7" ht="18.649999999999999" customHeight="1" x14ac:dyDescent="0.45">
      <c r="B24" s="38"/>
      <c r="C24" s="40"/>
      <c r="D24" s="5">
        <v>285.55</v>
      </c>
      <c r="E24" s="7">
        <f xml:space="preserve"> E5</f>
        <v>351.66</v>
      </c>
      <c r="F24" s="7">
        <f>ABS(D24-E24)</f>
        <v>66.110000000000014</v>
      </c>
      <c r="G24" s="8">
        <f>SIN(RADIANS((F24+60)/2))/SIN(RADIANS(30))</f>
        <v>1.7828838263984681</v>
      </c>
    </row>
    <row r="25" spans="2:7" ht="18.649999999999999" customHeight="1" x14ac:dyDescent="0.45">
      <c r="B25" s="38"/>
      <c r="C25" s="40"/>
      <c r="D25" s="5">
        <v>285.52</v>
      </c>
      <c r="E25" s="7">
        <f xml:space="preserve"> E5</f>
        <v>351.66</v>
      </c>
      <c r="F25" s="7">
        <f>ABS(D25-E25)</f>
        <v>66.140000000000043</v>
      </c>
      <c r="G25" s="8">
        <f>SIN(RADIANS((F25+60)/2))/SIN(RADIANS(30))</f>
        <v>1.7831210262210591</v>
      </c>
    </row>
    <row r="26" spans="2:7" ht="18.649999999999999" customHeight="1" x14ac:dyDescent="0.45">
      <c r="B26" s="38"/>
      <c r="C26" s="40"/>
      <c r="D26" s="5">
        <v>285.73</v>
      </c>
      <c r="E26" s="7">
        <f xml:space="preserve"> E5</f>
        <v>351.66</v>
      </c>
      <c r="F26" s="7">
        <f>ABS(D26-E26)</f>
        <v>65.930000000000007</v>
      </c>
      <c r="G26" s="8">
        <f>SIN(RADIANS((F26+60)/2))/SIN(RADIANS(30))</f>
        <v>1.7814580618969829</v>
      </c>
    </row>
    <row r="27" spans="2:7" ht="18.649999999999999" customHeight="1" x14ac:dyDescent="0.45">
      <c r="B27" s="26"/>
      <c r="C27" s="27"/>
      <c r="D27" s="5">
        <v>285.67</v>
      </c>
      <c r="E27" s="7">
        <f xml:space="preserve"> E5</f>
        <v>351.66</v>
      </c>
      <c r="F27" s="7">
        <f>ABS(D27-E27)</f>
        <v>65.990000000000009</v>
      </c>
      <c r="G27" s="8">
        <f>SIN(RADIANS((F27+60)/2))/SIN(RADIANS(30))</f>
        <v>1.7819338053015015</v>
      </c>
    </row>
    <row r="28" spans="2:7" ht="18.649999999999999" customHeight="1" x14ac:dyDescent="0.45">
      <c r="B28" s="36" t="s">
        <v>33</v>
      </c>
      <c r="C28" s="32"/>
      <c r="D28" s="6">
        <f xml:space="preserve"> AVERAGE(G23:G27)</f>
        <v>1.7822661050239028</v>
      </c>
      <c r="E28" s="31" t="s">
        <v>7</v>
      </c>
      <c r="F28" s="32"/>
      <c r="G28" s="8">
        <f xml:space="preserve"> _xlfn.STDEV.P(G23:G27)</f>
        <v>6.3027769370658908E-4</v>
      </c>
    </row>
    <row r="29" spans="2:7" ht="18.649999999999999" customHeight="1" thickBot="1" x14ac:dyDescent="0.5">
      <c r="B29" s="35" t="s">
        <v>9</v>
      </c>
      <c r="C29" s="34"/>
      <c r="D29" s="3">
        <f>SQRT(1+($B$3*(C23*0.0001)^2)/((C23*0.0001)^2-$E$3)+($C$3*(C23*0.0001)^2)/((C23*0.0001)^2-$F$3)+($D$3*(C23*0.0001)^2)/((C23*0.0001)^2-$G$3))</f>
        <v>1.7860420163139104</v>
      </c>
      <c r="E29" s="33" t="s">
        <v>8</v>
      </c>
      <c r="F29" s="34"/>
      <c r="G29" s="4">
        <f xml:space="preserve"> ABS((D28-D29)/D29*100)</f>
        <v>0.21141223193619951</v>
      </c>
    </row>
    <row r="30" spans="2:7" ht="18.649999999999999" customHeight="1" thickTop="1" x14ac:dyDescent="0.45">
      <c r="B30" s="37" t="s">
        <v>12</v>
      </c>
      <c r="C30" s="39">
        <v>5461</v>
      </c>
      <c r="D30" s="5">
        <v>284.83</v>
      </c>
      <c r="E30" s="7">
        <f xml:space="preserve"> E5</f>
        <v>351.66</v>
      </c>
      <c r="F30" s="7">
        <f>ABS(D30-E30)</f>
        <v>66.830000000000041</v>
      </c>
      <c r="G30" s="8">
        <f>SIN(RADIANS((F30+60)/2))/SIN(RADIANS(30))</f>
        <v>1.7885428585018492</v>
      </c>
    </row>
    <row r="31" spans="2:7" ht="18.649999999999999" customHeight="1" x14ac:dyDescent="0.45">
      <c r="B31" s="38"/>
      <c r="C31" s="40"/>
      <c r="D31" s="5">
        <v>284.8</v>
      </c>
      <c r="E31" s="7">
        <f xml:space="preserve"> E5</f>
        <v>351.66</v>
      </c>
      <c r="F31" s="7">
        <f>ABS(D31-E31)</f>
        <v>66.860000000000014</v>
      </c>
      <c r="G31" s="8">
        <f>SIN(RADIANS((F31+60)/2))/SIN(RADIANS(30))</f>
        <v>1.7887771207401673</v>
      </c>
    </row>
    <row r="32" spans="2:7" ht="18.649999999999999" customHeight="1" x14ac:dyDescent="0.45">
      <c r="B32" s="38"/>
      <c r="C32" s="40"/>
      <c r="D32" s="5">
        <v>284.77999999999997</v>
      </c>
      <c r="E32" s="7">
        <f xml:space="preserve"> E5</f>
        <v>351.66</v>
      </c>
      <c r="F32" s="7">
        <f>ABS(D32-E32)</f>
        <v>66.880000000000052</v>
      </c>
      <c r="G32" s="8">
        <f>SIN(RADIANS((F32+60)/2))/SIN(RADIANS(30))</f>
        <v>1.7889332274551202</v>
      </c>
    </row>
    <row r="33" spans="2:7" ht="18.649999999999999" customHeight="1" x14ac:dyDescent="0.45">
      <c r="B33" s="38"/>
      <c r="C33" s="40"/>
      <c r="D33" s="5">
        <v>284.89</v>
      </c>
      <c r="E33" s="7">
        <f xml:space="preserve"> E5</f>
        <v>351.66</v>
      </c>
      <c r="F33" s="7">
        <f>ABS(D33-E33)</f>
        <v>66.770000000000039</v>
      </c>
      <c r="G33" s="8">
        <f>SIN(RADIANS((F33+60)/2))/SIN(RADIANS(30))</f>
        <v>1.7880739662868947</v>
      </c>
    </row>
    <row r="34" spans="2:7" ht="18.649999999999999" customHeight="1" x14ac:dyDescent="0.45">
      <c r="B34" s="26"/>
      <c r="C34" s="27"/>
      <c r="D34" s="5">
        <v>284.85000000000002</v>
      </c>
      <c r="E34" s="7">
        <f xml:space="preserve"> E5</f>
        <v>351.66</v>
      </c>
      <c r="F34" s="7">
        <f>ABS(D34-E34)</f>
        <v>66.81</v>
      </c>
      <c r="G34" s="8">
        <f>SIN(RADIANS((F34+60)/2))/SIN(RADIANS(30))</f>
        <v>1.7883866155726487</v>
      </c>
    </row>
    <row r="35" spans="2:7" ht="18.649999999999999" customHeight="1" x14ac:dyDescent="0.45">
      <c r="B35" s="36" t="s">
        <v>34</v>
      </c>
      <c r="C35" s="32"/>
      <c r="D35" s="6">
        <f xml:space="preserve"> AVERAGE(G30:G34)</f>
        <v>1.7885427577113358</v>
      </c>
      <c r="E35" s="31" t="s">
        <v>7</v>
      </c>
      <c r="F35" s="32"/>
      <c r="G35" s="8">
        <f xml:space="preserve"> _xlfn.STDEV.P(G30:G34)</f>
        <v>3.0051237157763993E-4</v>
      </c>
    </row>
    <row r="36" spans="2:7" ht="18.649999999999999" customHeight="1" thickBot="1" x14ac:dyDescent="0.5">
      <c r="B36" s="35" t="s">
        <v>9</v>
      </c>
      <c r="C36" s="34"/>
      <c r="D36" s="3">
        <f>SQRT(1+($B$3*(C30*0.0001)^2)/((C30*0.0001)^2-$E$3)+($C$3*(C30*0.0001)^2)/((C30*0.0001)^2-$F$3)+($D$3*(C30*0.0001)^2)/((C30*0.0001)^2-$G$3))</f>
        <v>1.7918938900179449</v>
      </c>
      <c r="E36" s="33" t="s">
        <v>8</v>
      </c>
      <c r="F36" s="34"/>
      <c r="G36" s="4">
        <f xml:space="preserve"> ABS((D35-D36)/D36*100)</f>
        <v>0.18701622486003042</v>
      </c>
    </row>
    <row r="37" spans="2:7" ht="18.649999999999999" customHeight="1" thickTop="1" x14ac:dyDescent="0.45">
      <c r="B37" s="37" t="s">
        <v>13</v>
      </c>
      <c r="C37" s="39">
        <v>4916</v>
      </c>
      <c r="D37" s="5">
        <v>283.33</v>
      </c>
      <c r="E37" s="7">
        <f xml:space="preserve"> E5</f>
        <v>351.66</v>
      </c>
      <c r="F37" s="7">
        <f>ABS(D37-E37)</f>
        <v>68.330000000000041</v>
      </c>
      <c r="G37" s="8">
        <f>SIN(RADIANS((F37+60)/2))/SIN(RADIANS(30))</f>
        <v>1.8001054717794325</v>
      </c>
    </row>
    <row r="38" spans="2:7" ht="18.649999999999999" customHeight="1" x14ac:dyDescent="0.45">
      <c r="B38" s="38"/>
      <c r="C38" s="40"/>
      <c r="D38" s="5">
        <v>283.3</v>
      </c>
      <c r="E38" s="7">
        <f xml:space="preserve"> E5</f>
        <v>351.66</v>
      </c>
      <c r="F38" s="7">
        <f>ABS(D38-E38)</f>
        <v>68.360000000000014</v>
      </c>
      <c r="G38" s="8">
        <f>SIN(RADIANS((F38+60)/2))/SIN(RADIANS(30))</f>
        <v>1.8003335844818016</v>
      </c>
    </row>
    <row r="39" spans="2:7" ht="18.649999999999999" customHeight="1" x14ac:dyDescent="0.45">
      <c r="B39" s="38"/>
      <c r="C39" s="40"/>
      <c r="D39" s="5">
        <v>283.35000000000002</v>
      </c>
      <c r="E39" s="7">
        <f xml:space="preserve"> E5</f>
        <v>351.66</v>
      </c>
      <c r="F39" s="7">
        <f>ABS(D39-E39)</f>
        <v>68.31</v>
      </c>
      <c r="G39" s="8">
        <f>SIN(RADIANS((F39+60)/2))/SIN(RADIANS(30))</f>
        <v>1.799953328100619</v>
      </c>
    </row>
    <row r="40" spans="2:7" ht="18.649999999999999" customHeight="1" x14ac:dyDescent="0.45">
      <c r="B40" s="38"/>
      <c r="C40" s="40"/>
      <c r="D40" s="5">
        <v>283.33</v>
      </c>
      <c r="E40" s="7">
        <f xml:space="preserve"> E5</f>
        <v>351.66</v>
      </c>
      <c r="F40" s="7">
        <f>ABS(D40-E40)</f>
        <v>68.330000000000041</v>
      </c>
      <c r="G40" s="8">
        <f>SIN(RADIANS((F40+60)/2))/SIN(RADIANS(30))</f>
        <v>1.8001054717794325</v>
      </c>
    </row>
    <row r="41" spans="2:7" ht="18.649999999999999" customHeight="1" x14ac:dyDescent="0.45">
      <c r="B41" s="26"/>
      <c r="C41" s="27"/>
      <c r="D41" s="5">
        <v>283.27999999999997</v>
      </c>
      <c r="E41" s="7">
        <f xml:space="preserve"> E5</f>
        <v>351.66</v>
      </c>
      <c r="F41" s="7">
        <f>ABS(D41-E41)</f>
        <v>68.380000000000052</v>
      </c>
      <c r="G41" s="8">
        <f>SIN(RADIANS((F41+60)/2))/SIN(RADIANS(30))</f>
        <v>1.8004855910660584</v>
      </c>
    </row>
    <row r="42" spans="2:7" ht="18.649999999999999" customHeight="1" x14ac:dyDescent="0.45">
      <c r="B42" s="36" t="s">
        <v>35</v>
      </c>
      <c r="C42" s="32"/>
      <c r="D42" s="6">
        <f xml:space="preserve"> AVERAGE(G37:G41)</f>
        <v>1.8001966894414685</v>
      </c>
      <c r="E42" s="31" t="s">
        <v>7</v>
      </c>
      <c r="F42" s="32"/>
      <c r="G42" s="8">
        <f xml:space="preserve"> _xlfn.STDEV.P(G37:G41)</f>
        <v>1.8871696622889378E-4</v>
      </c>
    </row>
    <row r="43" spans="2:7" ht="18.649999999999999" customHeight="1" thickBot="1" x14ac:dyDescent="0.5">
      <c r="B43" s="35" t="s">
        <v>9</v>
      </c>
      <c r="C43" s="34"/>
      <c r="D43" s="3">
        <f>SQRT(1+($B$3*(C37*0.0001)^2)/((C37*0.0001)^2-$E$3)+($C$3*(C37*0.0001)^2)/((C37*0.0001)^2-$F$3)+($D$3*(C37*0.0001)^2)/((C37*0.0001)^2-$G$3))</f>
        <v>1.8048490063636622</v>
      </c>
      <c r="E43" s="33" t="s">
        <v>8</v>
      </c>
      <c r="F43" s="34"/>
      <c r="G43" s="4">
        <f xml:space="preserve"> ABS((D42-D43)/D43*100)</f>
        <v>0.2577676529056025</v>
      </c>
    </row>
    <row r="44" spans="2:7" ht="18.649999999999999" customHeight="1" thickTop="1" x14ac:dyDescent="0.45">
      <c r="B44" s="37" t="s">
        <v>14</v>
      </c>
      <c r="C44" s="39">
        <v>4358</v>
      </c>
      <c r="D44" s="5">
        <v>280.5</v>
      </c>
      <c r="E44" s="7">
        <f xml:space="preserve"> E5</f>
        <v>351.66</v>
      </c>
      <c r="F44" s="7">
        <f>ABS(D44-E44)</f>
        <v>71.160000000000025</v>
      </c>
      <c r="G44" s="8">
        <f>SIN(RADIANS((F44+60)/2))/SIN(RADIANS(30))</f>
        <v>1.8210788093559693</v>
      </c>
    </row>
    <row r="45" spans="2:7" ht="18.649999999999999" customHeight="1" x14ac:dyDescent="0.45">
      <c r="B45" s="38"/>
      <c r="C45" s="40"/>
      <c r="D45" s="5">
        <v>280.45</v>
      </c>
      <c r="E45" s="7">
        <f xml:space="preserve"> E5</f>
        <v>351.66</v>
      </c>
      <c r="F45" s="7">
        <f>ABS(D45-E45)</f>
        <v>71.210000000000036</v>
      </c>
      <c r="G45" s="8">
        <f>SIN(RADIANS((F45+60)/2))/SIN(RADIANS(30))</f>
        <v>1.8214394150015605</v>
      </c>
    </row>
    <row r="46" spans="2:7" ht="18.649999999999999" customHeight="1" x14ac:dyDescent="0.45">
      <c r="B46" s="38"/>
      <c r="C46" s="40"/>
      <c r="D46" s="5">
        <v>280.61</v>
      </c>
      <c r="E46" s="7">
        <f xml:space="preserve"> E5</f>
        <v>351.66</v>
      </c>
      <c r="F46" s="7">
        <f>ABS(D46-E46)</f>
        <v>71.050000000000011</v>
      </c>
      <c r="G46" s="8">
        <f>SIN(RADIANS((F46+60)/2))/SIN(RADIANS(30))</f>
        <v>1.8202842566213286</v>
      </c>
    </row>
    <row r="47" spans="2:7" ht="18.649999999999999" customHeight="1" x14ac:dyDescent="0.45">
      <c r="B47" s="38"/>
      <c r="C47" s="40"/>
      <c r="D47" s="5">
        <v>280.52</v>
      </c>
      <c r="E47" s="7">
        <f xml:space="preserve"> E5</f>
        <v>351.66</v>
      </c>
      <c r="F47" s="7">
        <f>ABS(D47-E47)</f>
        <v>71.140000000000043</v>
      </c>
      <c r="G47" s="8">
        <f>SIN(RADIANS((F47+60)/2))/SIN(RADIANS(30))</f>
        <v>1.8209344700157302</v>
      </c>
    </row>
    <row r="48" spans="2:7" ht="18.649999999999999" customHeight="1" x14ac:dyDescent="0.45">
      <c r="B48" s="26"/>
      <c r="C48" s="27"/>
      <c r="D48" s="5">
        <v>280.5</v>
      </c>
      <c r="E48" s="7">
        <f xml:space="preserve"> E5</f>
        <v>351.66</v>
      </c>
      <c r="F48" s="7">
        <f>ABS(D48-E48)</f>
        <v>71.160000000000025</v>
      </c>
      <c r="G48" s="8">
        <f>SIN(RADIANS((F48+60)/2))/SIN(RADIANS(30))</f>
        <v>1.8210788093559693</v>
      </c>
    </row>
    <row r="49" spans="2:7" ht="18.649999999999999" customHeight="1" x14ac:dyDescent="0.45">
      <c r="B49" s="36" t="s">
        <v>36</v>
      </c>
      <c r="C49" s="32"/>
      <c r="D49" s="6">
        <f xml:space="preserve"> AVERAGE(G44:G48)</f>
        <v>1.8209631520701115</v>
      </c>
      <c r="E49" s="31" t="s">
        <v>7</v>
      </c>
      <c r="F49" s="32"/>
      <c r="G49" s="8">
        <f xml:space="preserve"> _xlfn.STDEV.P(G44:G48)</f>
        <v>3.7823307259888947E-4</v>
      </c>
    </row>
    <row r="50" spans="2:7" ht="18.649999999999999" customHeight="1" thickBot="1" x14ac:dyDescent="0.5">
      <c r="B50" s="35" t="s">
        <v>9</v>
      </c>
      <c r="C50" s="34"/>
      <c r="D50" s="3">
        <f>SQRT(1+($B$3*(C44*0.0001)^2)/((C44*0.0001)^2-$E$3)+($C$3*(C44*0.0001)^2)/((C44*0.0001)^2-$F$3)+($D$3*(C44*0.0001)^2)/((C44*0.0001)^2-$G$3))</f>
        <v>1.8251974418745132</v>
      </c>
      <c r="E50" s="33" t="s">
        <v>8</v>
      </c>
      <c r="F50" s="34"/>
      <c r="G50" s="4">
        <f xml:space="preserve"> ABS((D49-D50)/D50*100)</f>
        <v>0.23199078123038352</v>
      </c>
    </row>
    <row r="51" spans="2:7" ht="18.649999999999999" customHeight="1" thickTop="1" x14ac:dyDescent="0.45">
      <c r="B51" s="37" t="s">
        <v>15</v>
      </c>
      <c r="C51" s="39">
        <v>4078</v>
      </c>
      <c r="D51" s="5">
        <v>278.3</v>
      </c>
      <c r="E51" s="7">
        <f xml:space="preserve"> E5</f>
        <v>351.66</v>
      </c>
      <c r="F51" s="7">
        <f>ABS(D51-E51)</f>
        <v>73.360000000000014</v>
      </c>
      <c r="G51" s="8">
        <f>SIN(RADIANS((F51+60)/2))/SIN(RADIANS(30))</f>
        <v>1.8366165079274297</v>
      </c>
    </row>
    <row r="52" spans="2:7" ht="18.649999999999999" customHeight="1" x14ac:dyDescent="0.45">
      <c r="B52" s="38"/>
      <c r="C52" s="40"/>
      <c r="D52" s="5">
        <v>278.25</v>
      </c>
      <c r="E52" s="7">
        <f xml:space="preserve"> E5</f>
        <v>351.66</v>
      </c>
      <c r="F52" s="7">
        <f>ABS(D52-E52)</f>
        <v>73.410000000000025</v>
      </c>
      <c r="G52" s="8">
        <f>SIN(RADIANS((F52+60)/2))/SIN(RADIANS(30))</f>
        <v>1.8369617914053298</v>
      </c>
    </row>
    <row r="53" spans="2:7" ht="18.649999999999999" customHeight="1" x14ac:dyDescent="0.45">
      <c r="B53" s="38"/>
      <c r="C53" s="40"/>
      <c r="D53" s="5">
        <v>278.33</v>
      </c>
      <c r="E53" s="7">
        <f xml:space="preserve"> E5</f>
        <v>351.66</v>
      </c>
      <c r="F53" s="7">
        <f>ABS(D53-E53)</f>
        <v>73.330000000000041</v>
      </c>
      <c r="G53" s="8">
        <f>SIN(RADIANS((F53+60)/2))/SIN(RADIANS(30))</f>
        <v>1.8364091699968681</v>
      </c>
    </row>
    <row r="54" spans="2:7" ht="18.649999999999999" customHeight="1" x14ac:dyDescent="0.45">
      <c r="B54" s="38"/>
      <c r="C54" s="40"/>
      <c r="D54" s="5">
        <v>278.3</v>
      </c>
      <c r="E54" s="7">
        <f xml:space="preserve"> E5</f>
        <v>351.66</v>
      </c>
      <c r="F54" s="7">
        <f>ABS(D54-E54)</f>
        <v>73.360000000000014</v>
      </c>
      <c r="G54" s="8">
        <f>SIN(RADIANS((F54+60)/2))/SIN(RADIANS(30))</f>
        <v>1.8366165079274297</v>
      </c>
    </row>
    <row r="55" spans="2:7" ht="18.649999999999999" customHeight="1" x14ac:dyDescent="0.45">
      <c r="B55" s="26"/>
      <c r="C55" s="27"/>
      <c r="D55" s="5">
        <v>278.35000000000002</v>
      </c>
      <c r="E55" s="7">
        <f xml:space="preserve"> E5</f>
        <v>351.66</v>
      </c>
      <c r="F55" s="7">
        <f>ABS(D55-E55)</f>
        <v>73.31</v>
      </c>
      <c r="G55" s="8">
        <f>SIN(RADIANS((F55+60)/2))/SIN(RADIANS(30))</f>
        <v>1.8362708747836716</v>
      </c>
    </row>
    <row r="56" spans="2:7" ht="18.649999999999999" customHeight="1" x14ac:dyDescent="0.45">
      <c r="B56" s="36" t="s">
        <v>37</v>
      </c>
      <c r="C56" s="32"/>
      <c r="D56" s="6">
        <f xml:space="preserve"> AVERAGE(G51:G55)</f>
        <v>1.836574970408146</v>
      </c>
      <c r="E56" s="31" t="s">
        <v>7</v>
      </c>
      <c r="F56" s="32"/>
      <c r="G56" s="8">
        <f xml:space="preserve"> _xlfn.STDEV.P(G51:G55)</f>
        <v>2.3368574628468774E-4</v>
      </c>
    </row>
    <row r="57" spans="2:7" ht="18.649999999999999" customHeight="1" thickBot="1" x14ac:dyDescent="0.5">
      <c r="B57" s="35" t="s">
        <v>9</v>
      </c>
      <c r="C57" s="34"/>
      <c r="D57" s="3">
        <f>SQRT(1+($B$3*(C51*0.0001)^2)/((C51*0.0001)^2-$E$3)+($C$3*(C51*0.0001)^2)/((C51*0.0001)^2-$F$3)+($D$3*(C51*0.0001)^2)/((C51*0.0001)^2-$G$3))</f>
        <v>1.8401150459324036</v>
      </c>
      <c r="E57" s="33" t="s">
        <v>8</v>
      </c>
      <c r="F57" s="34"/>
      <c r="G57" s="4">
        <f xml:space="preserve"> ABS((D56-D57)/D57*100)</f>
        <v>0.19238338016326711</v>
      </c>
    </row>
    <row r="58" spans="2:7" ht="18.649999999999999" customHeight="1" thickTop="1" x14ac:dyDescent="0.45">
      <c r="B58" s="37" t="s">
        <v>16</v>
      </c>
      <c r="C58" s="39">
        <v>4047</v>
      </c>
      <c r="D58" s="5">
        <v>278</v>
      </c>
      <c r="E58" s="7">
        <f xml:space="preserve"> E5</f>
        <v>351.66</v>
      </c>
      <c r="F58" s="7">
        <f>ABS(D58-E58)</f>
        <v>73.660000000000025</v>
      </c>
      <c r="G58" s="8">
        <f>SIN(RADIANS((F58+60)/2))/SIN(RADIANS(30))</f>
        <v>1.8386829615084908</v>
      </c>
    </row>
    <row r="59" spans="2:7" ht="18.649999999999999" customHeight="1" x14ac:dyDescent="0.45">
      <c r="B59" s="38"/>
      <c r="C59" s="40"/>
      <c r="D59" s="5">
        <v>278.12</v>
      </c>
      <c r="E59" s="7">
        <f xml:space="preserve"> E5</f>
        <v>351.66</v>
      </c>
      <c r="F59" s="7">
        <f>ABS(D59-E59)</f>
        <v>73.54000000000002</v>
      </c>
      <c r="G59" s="8">
        <f>SIN(RADIANS((F59+60)/2))/SIN(RADIANS(30))</f>
        <v>1.8378578915401154</v>
      </c>
    </row>
    <row r="60" spans="2:7" ht="18.649999999999999" customHeight="1" x14ac:dyDescent="0.45">
      <c r="B60" s="38"/>
      <c r="C60" s="40"/>
      <c r="D60" s="5">
        <v>278.10000000000002</v>
      </c>
      <c r="E60" s="7">
        <f xml:space="preserve"> E5</f>
        <v>351.66</v>
      </c>
      <c r="F60" s="7">
        <f>ABS(D60-E60)</f>
        <v>73.56</v>
      </c>
      <c r="G60" s="8">
        <f>SIN(RADIANS((F60+60)/2))/SIN(RADIANS(30))</f>
        <v>1.8379955431868429</v>
      </c>
    </row>
    <row r="61" spans="2:7" ht="18.649999999999999" customHeight="1" x14ac:dyDescent="0.45">
      <c r="B61" s="38"/>
      <c r="C61" s="40"/>
      <c r="D61" s="5">
        <v>277.92</v>
      </c>
      <c r="E61" s="7">
        <f xml:space="preserve"> E5</f>
        <v>351.66</v>
      </c>
      <c r="F61" s="7">
        <f>ABS(D61-E61)</f>
        <v>73.740000000000009</v>
      </c>
      <c r="G61" s="8">
        <f>SIN(RADIANS((F61+60)/2))/SIN(RADIANS(30))</f>
        <v>1.8392318880202174</v>
      </c>
    </row>
    <row r="62" spans="2:7" ht="18.649999999999999" customHeight="1" x14ac:dyDescent="0.45">
      <c r="B62" s="26"/>
      <c r="C62" s="27"/>
      <c r="D62" s="5">
        <v>278.02</v>
      </c>
      <c r="E62" s="7">
        <f xml:space="preserve"> E5</f>
        <v>351.66</v>
      </c>
      <c r="F62" s="7">
        <f>ABS(D62-E62)</f>
        <v>73.640000000000043</v>
      </c>
      <c r="G62" s="8">
        <f>SIN(RADIANS((F62+60)/2))/SIN(RADIANS(30))</f>
        <v>1.8385455898463894</v>
      </c>
    </row>
    <row r="63" spans="2:7" ht="18.649999999999999" customHeight="1" x14ac:dyDescent="0.45">
      <c r="B63" s="36" t="s">
        <v>38</v>
      </c>
      <c r="C63" s="32"/>
      <c r="D63" s="6">
        <f xml:space="preserve"> AVERAGE(G58:G62)</f>
        <v>1.838462774820411</v>
      </c>
      <c r="E63" s="31" t="s">
        <v>7</v>
      </c>
      <c r="F63" s="32"/>
      <c r="G63" s="8">
        <f xml:space="preserve"> _xlfn.STDEV.P(G58:G62)</f>
        <v>4.9619850915530624E-4</v>
      </c>
    </row>
    <row r="64" spans="2:7" ht="18.649999999999999" customHeight="1" thickBot="1" x14ac:dyDescent="0.5">
      <c r="B64" s="35" t="s">
        <v>9</v>
      </c>
      <c r="C64" s="34"/>
      <c r="D64" s="3">
        <f>SQRT(1+($B$3*(C58*0.0001)^2)/((C58*0.0001)^2-$E$3)+($C$3*(C58*0.0001)^2)/((C58*0.0001)^2-$F$3)+($D$3*(C58*0.0001)^2)/((C58*0.0001)^2-$G$3))</f>
        <v>1.8420526911940456</v>
      </c>
      <c r="E64" s="33" t="s">
        <v>8</v>
      </c>
      <c r="F64" s="34"/>
      <c r="G64" s="4">
        <f xml:space="preserve"> ABS((D63-D64)/D64*100)</f>
        <v>0.19488673645418675</v>
      </c>
    </row>
    <row r="65" ht="18.649999999999999" customHeight="1" thickTop="1" x14ac:dyDescent="0.45"/>
  </sheetData>
  <mergeCells count="52">
    <mergeCell ref="B1:G1"/>
    <mergeCell ref="B12:G12"/>
    <mergeCell ref="B15:C15"/>
    <mergeCell ref="E29:F29"/>
    <mergeCell ref="E28:F28"/>
    <mergeCell ref="E10:F10"/>
    <mergeCell ref="B4:C4"/>
    <mergeCell ref="B5:B9"/>
    <mergeCell ref="C5:C9"/>
    <mergeCell ref="B10:C10"/>
    <mergeCell ref="E22:F22"/>
    <mergeCell ref="B22:C22"/>
    <mergeCell ref="B23:B27"/>
    <mergeCell ref="C23:C27"/>
    <mergeCell ref="B28:C28"/>
    <mergeCell ref="E11:F11"/>
    <mergeCell ref="B11:C11"/>
    <mergeCell ref="B16:B20"/>
    <mergeCell ref="C16:C20"/>
    <mergeCell ref="B21:C21"/>
    <mergeCell ref="E21:F21"/>
    <mergeCell ref="B36:C36"/>
    <mergeCell ref="B37:B41"/>
    <mergeCell ref="C37:C41"/>
    <mergeCell ref="B42:C42"/>
    <mergeCell ref="B29:C29"/>
    <mergeCell ref="B30:B34"/>
    <mergeCell ref="C30:C34"/>
    <mergeCell ref="B35:C35"/>
    <mergeCell ref="B50:C50"/>
    <mergeCell ref="B51:B55"/>
    <mergeCell ref="C51:C55"/>
    <mergeCell ref="B63:C63"/>
    <mergeCell ref="B43:C43"/>
    <mergeCell ref="B44:B48"/>
    <mergeCell ref="C44:C48"/>
    <mergeCell ref="B49:C49"/>
    <mergeCell ref="B64:C64"/>
    <mergeCell ref="B56:C56"/>
    <mergeCell ref="B57:C57"/>
    <mergeCell ref="B58:B62"/>
    <mergeCell ref="C58:C62"/>
    <mergeCell ref="E64:F64"/>
    <mergeCell ref="E63:F63"/>
    <mergeCell ref="E57:F57"/>
    <mergeCell ref="E56:F56"/>
    <mergeCell ref="E50:F50"/>
    <mergeCell ref="E49:F49"/>
    <mergeCell ref="E43:F43"/>
    <mergeCell ref="E42:F42"/>
    <mergeCell ref="E36:F36"/>
    <mergeCell ref="E35:F3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zoomScaleNormal="100" workbookViewId="0">
      <selection activeCell="C5" sqref="C5"/>
    </sheetView>
  </sheetViews>
  <sheetFormatPr defaultColWidth="9.765625" defaultRowHeight="18.649999999999999" customHeight="1" x14ac:dyDescent="0.45"/>
  <cols>
    <col min="1" max="1" width="12.3046875" style="1" customWidth="1"/>
    <col min="2" max="2" width="13.23046875" style="1" customWidth="1"/>
    <col min="3" max="3" width="11.53515625" style="1" customWidth="1"/>
    <col min="4" max="4" width="12.07421875" style="1" customWidth="1"/>
    <col min="5" max="5" width="12.53515625" style="1" customWidth="1"/>
    <col min="6" max="6" width="11.69140625" style="1" customWidth="1"/>
    <col min="7" max="16384" width="9.765625" style="1"/>
  </cols>
  <sheetData>
    <row r="1" spans="1:6" ht="18.649999999999999" customHeight="1" thickTop="1" x14ac:dyDescent="0.45">
      <c r="A1" s="23" t="s">
        <v>17</v>
      </c>
      <c r="B1" s="41"/>
      <c r="C1" s="41"/>
      <c r="D1" s="41"/>
      <c r="E1" s="41"/>
      <c r="F1" s="42"/>
    </row>
    <row r="2" spans="1:6" ht="18.649999999999999" customHeight="1" x14ac:dyDescent="0.45">
      <c r="A2" s="15" t="s">
        <v>23</v>
      </c>
      <c r="B2" s="13" t="s">
        <v>22</v>
      </c>
      <c r="C2" s="13" t="s">
        <v>18</v>
      </c>
      <c r="D2" s="13" t="s">
        <v>19</v>
      </c>
      <c r="E2" s="13" t="s">
        <v>20</v>
      </c>
      <c r="F2" s="19" t="s">
        <v>21</v>
      </c>
    </row>
    <row r="3" spans="1:6" ht="18.649999999999999" customHeight="1" thickBot="1" x14ac:dyDescent="0.5">
      <c r="A3" s="16">
        <v>1.73848403</v>
      </c>
      <c r="B3" s="17">
        <v>0.31116897399999999</v>
      </c>
      <c r="C3" s="17">
        <v>1.17490871</v>
      </c>
      <c r="D3" s="17">
        <v>1.360686E-2</v>
      </c>
      <c r="E3" s="17">
        <v>6.1596046000000002E-2</v>
      </c>
      <c r="F3" s="18">
        <v>121.92271100000001</v>
      </c>
    </row>
    <row r="4" spans="1:6" ht="18.649999999999999" customHeight="1" thickTop="1" thickBot="1" x14ac:dyDescent="0.5">
      <c r="A4" s="45" t="s">
        <v>0</v>
      </c>
      <c r="B4" s="46"/>
      <c r="C4" s="9" t="s">
        <v>4</v>
      </c>
      <c r="D4" s="9" t="s">
        <v>5</v>
      </c>
      <c r="E4" s="9" t="s">
        <v>6</v>
      </c>
      <c r="F4" s="2" t="s">
        <v>3</v>
      </c>
    </row>
    <row r="5" spans="1:6" ht="18.649999999999999" customHeight="1" thickTop="1" x14ac:dyDescent="0.45">
      <c r="A5" s="37" t="s">
        <v>10</v>
      </c>
      <c r="B5" s="39">
        <v>6234</v>
      </c>
      <c r="C5" s="5">
        <v>119</v>
      </c>
      <c r="D5" s="5">
        <v>185</v>
      </c>
      <c r="E5" s="7">
        <f>ABS(C5-D5)</f>
        <v>66</v>
      </c>
      <c r="F5" s="8">
        <f>SIN(RADIANS((E5+60)/2))/SIN(RADIANS(30))</f>
        <v>1.7820130483767358</v>
      </c>
    </row>
    <row r="6" spans="1:6" ht="18.649999999999999" customHeight="1" x14ac:dyDescent="0.45">
      <c r="A6" s="38"/>
      <c r="B6" s="40"/>
      <c r="C6" s="5">
        <v>118.33333333333333</v>
      </c>
      <c r="D6" s="7">
        <f>D5</f>
        <v>185</v>
      </c>
      <c r="E6" s="7">
        <f>ABS(C6-D6)</f>
        <v>66.666666666666671</v>
      </c>
      <c r="F6" s="8">
        <f>SIN(RADIANS((E6+60)/2))/SIN(RADIANS(30))</f>
        <v>1.7872652806468248</v>
      </c>
    </row>
    <row r="7" spans="1:6" ht="18.649999999999999" customHeight="1" x14ac:dyDescent="0.45">
      <c r="A7" s="38"/>
      <c r="B7" s="40"/>
      <c r="C7" s="5">
        <v>118.5</v>
      </c>
      <c r="D7" s="7">
        <f>D5</f>
        <v>185</v>
      </c>
      <c r="E7" s="7">
        <f>ABS(C7-D7)</f>
        <v>66.5</v>
      </c>
      <c r="F7" s="8">
        <f>SIN(RADIANS((E7+60)/2))/SIN(RADIANS(30))</f>
        <v>1.7859578868222741</v>
      </c>
    </row>
    <row r="8" spans="1:6" ht="18.649999999999999" customHeight="1" x14ac:dyDescent="0.45">
      <c r="A8" s="38"/>
      <c r="B8" s="40"/>
      <c r="C8" s="5">
        <v>118</v>
      </c>
      <c r="D8" s="7">
        <f>D5</f>
        <v>185</v>
      </c>
      <c r="E8" s="7">
        <f>ABS(C8-D8)</f>
        <v>67</v>
      </c>
      <c r="F8" s="8">
        <f>SIN(RADIANS((E8+60)/2))/SIN(RADIANS(30))</f>
        <v>1.7898687232040504</v>
      </c>
    </row>
    <row r="9" spans="1:6" ht="18.649999999999999" customHeight="1" x14ac:dyDescent="0.45">
      <c r="A9" s="26"/>
      <c r="B9" s="27"/>
      <c r="C9" s="5">
        <v>118.66666666666667</v>
      </c>
      <c r="D9" s="7">
        <f>D5</f>
        <v>185</v>
      </c>
      <c r="E9" s="7">
        <f>ABS(C9-D9)</f>
        <v>66.333333333333329</v>
      </c>
      <c r="F9" s="8">
        <f>SIN(RADIANS((E9+60)/2))/SIN(RADIANS(30))</f>
        <v>1.7846467149853111</v>
      </c>
    </row>
    <row r="10" spans="1:6" ht="18.649999999999999" customHeight="1" x14ac:dyDescent="0.45">
      <c r="A10" s="36" t="s">
        <v>2</v>
      </c>
      <c r="B10" s="32"/>
      <c r="C10" s="6">
        <f xml:space="preserve"> AVERAGE(F5:F9)</f>
        <v>1.7859503308070395</v>
      </c>
      <c r="D10" s="31" t="s">
        <v>7</v>
      </c>
      <c r="E10" s="32"/>
      <c r="F10" s="8">
        <f xml:space="preserve"> _xlfn.STDEV.P(F5:F9)</f>
        <v>2.6185704610764025E-3</v>
      </c>
    </row>
    <row r="11" spans="1:6" ht="18.649999999999999" customHeight="1" thickBot="1" x14ac:dyDescent="0.5">
      <c r="A11" s="35" t="s">
        <v>9</v>
      </c>
      <c r="B11" s="34"/>
      <c r="C11" s="3">
        <f>SQRT(1+($A$3*(B5*0.0001)^2)/((B5*0.0001)^2-$D$3)+($B$3*(B5*0.0001)^2)/((B5*0.0001)^2-$E$3)+($C$3*(B5*0.0001)^2)/((B5*0.0001)^2-$F$3))</f>
        <v>1.7797701290425256</v>
      </c>
      <c r="D11" s="33" t="s">
        <v>8</v>
      </c>
      <c r="E11" s="34"/>
      <c r="F11" s="4">
        <f xml:space="preserve"> ABS((C10-C11)/C11*100)</f>
        <v>0.34724719016599298</v>
      </c>
    </row>
    <row r="12" spans="1:6" ht="18.649999999999999" customHeight="1" thickTop="1" x14ac:dyDescent="0.45">
      <c r="A12" s="37" t="s">
        <v>11</v>
      </c>
      <c r="B12" s="39">
        <v>5791</v>
      </c>
      <c r="C12" s="5">
        <v>119.33333333333333</v>
      </c>
      <c r="D12" s="7">
        <f>D5</f>
        <v>185</v>
      </c>
      <c r="E12" s="7">
        <f>ABS(C12-D12)</f>
        <v>65.666666666666671</v>
      </c>
      <c r="F12" s="8">
        <f>SIN(RADIANS((E12+60)/2))/SIN(RADIANS(30))</f>
        <v>1.7793643031061037</v>
      </c>
    </row>
    <row r="13" spans="1:6" ht="18.649999999999999" customHeight="1" x14ac:dyDescent="0.45">
      <c r="A13" s="38"/>
      <c r="B13" s="40"/>
      <c r="C13" s="5">
        <v>118</v>
      </c>
      <c r="D13" s="7">
        <f>D5</f>
        <v>185</v>
      </c>
      <c r="E13" s="7">
        <f>ABS(C13-D13)</f>
        <v>67</v>
      </c>
      <c r="F13" s="8">
        <f>SIN(RADIANS((E13+60)/2))/SIN(RADIANS(30))</f>
        <v>1.7898687232040504</v>
      </c>
    </row>
    <row r="14" spans="1:6" ht="18.649999999999999" customHeight="1" x14ac:dyDescent="0.45">
      <c r="A14" s="38"/>
      <c r="B14" s="40"/>
      <c r="C14" s="5">
        <v>117.66666666666667</v>
      </c>
      <c r="D14" s="7">
        <f>D5</f>
        <v>185</v>
      </c>
      <c r="E14" s="7">
        <f>ABS(C14-D14)</f>
        <v>67.333333333333329</v>
      </c>
      <c r="F14" s="8">
        <f>SIN(RADIANS((E14+60)/2))/SIN(RADIANS(30))</f>
        <v>1.792457020627727</v>
      </c>
    </row>
    <row r="15" spans="1:6" ht="18.649999999999999" customHeight="1" x14ac:dyDescent="0.45">
      <c r="A15" s="38"/>
      <c r="B15" s="40"/>
      <c r="C15" s="5">
        <v>118</v>
      </c>
      <c r="D15" s="7">
        <f>D5</f>
        <v>185</v>
      </c>
      <c r="E15" s="7">
        <f>ABS(C15-D15)</f>
        <v>67</v>
      </c>
      <c r="F15" s="8">
        <f>SIN(RADIANS((E15+60)/2))/SIN(RADIANS(30))</f>
        <v>1.7898687232040504</v>
      </c>
    </row>
    <row r="16" spans="1:6" ht="18.649999999999999" customHeight="1" x14ac:dyDescent="0.45">
      <c r="A16" s="26"/>
      <c r="B16" s="27"/>
      <c r="C16" s="5">
        <v>117</v>
      </c>
      <c r="D16" s="7">
        <f>D5</f>
        <v>185</v>
      </c>
      <c r="E16" s="7">
        <f>ABS(C16-D16)</f>
        <v>68</v>
      </c>
      <c r="F16" s="8">
        <f>SIN(RADIANS((E16+60)/2))/SIN(RADIANS(30))</f>
        <v>1.7975880925983343</v>
      </c>
    </row>
    <row r="17" spans="1:6" ht="18.649999999999999" customHeight="1" x14ac:dyDescent="0.45">
      <c r="A17" s="36" t="s">
        <v>2</v>
      </c>
      <c r="B17" s="32"/>
      <c r="C17" s="6">
        <f xml:space="preserve"> AVERAGE(F12:F16)</f>
        <v>1.7898293725480532</v>
      </c>
      <c r="D17" s="31" t="s">
        <v>7</v>
      </c>
      <c r="E17" s="32"/>
      <c r="F17" s="8">
        <f xml:space="preserve"> _xlfn.STDEV.P(F12:F16)</f>
        <v>5.9434509608867351E-3</v>
      </c>
    </row>
    <row r="18" spans="1:6" ht="18.649999999999999" customHeight="1" thickBot="1" x14ac:dyDescent="0.5">
      <c r="A18" s="35" t="s">
        <v>9</v>
      </c>
      <c r="B18" s="34"/>
      <c r="C18" s="3">
        <f>SQRT(1+($A$3*(B12*0.0001)^2)/((B12*0.0001)^2-$D$3)+($B$3*(B12*0.0001)^2)/((B12*0.0001)^2-$E$3)+($C$3*(B12*0.0001)^2)/((B12*0.0001)^2-$F$3))</f>
        <v>1.7860420163139104</v>
      </c>
      <c r="D18" s="33" t="s">
        <v>8</v>
      </c>
      <c r="E18" s="34"/>
      <c r="F18" s="4">
        <f xml:space="preserve"> ABS((C17-C18)/C18*100)</f>
        <v>0.21205303120244062</v>
      </c>
    </row>
    <row r="19" spans="1:6" ht="18.649999999999999" customHeight="1" thickTop="1" x14ac:dyDescent="0.45">
      <c r="A19" s="37" t="s">
        <v>12</v>
      </c>
      <c r="B19" s="39">
        <v>5461</v>
      </c>
      <c r="C19" s="5">
        <v>117.66666666666667</v>
      </c>
      <c r="D19" s="7">
        <f>D5</f>
        <v>185</v>
      </c>
      <c r="E19" s="7">
        <f>ABS(C19-D19)</f>
        <v>67.333333333333329</v>
      </c>
      <c r="F19" s="8">
        <f>SIN(RADIANS((E19+60)/2))/SIN(RADIANS(30))</f>
        <v>1.792457020627727</v>
      </c>
    </row>
    <row r="20" spans="1:6" ht="18.649999999999999" customHeight="1" x14ac:dyDescent="0.45">
      <c r="A20" s="38"/>
      <c r="B20" s="40"/>
      <c r="C20" s="5">
        <v>117</v>
      </c>
      <c r="D20" s="7">
        <f>D5</f>
        <v>185</v>
      </c>
      <c r="E20" s="7">
        <f>ABS(C20-D20)</f>
        <v>68</v>
      </c>
      <c r="F20" s="8">
        <f>SIN(RADIANS((E20+60)/2))/SIN(RADIANS(30))</f>
        <v>1.7975880925983343</v>
      </c>
    </row>
    <row r="21" spans="1:6" ht="18.649999999999999" customHeight="1" x14ac:dyDescent="0.45">
      <c r="A21" s="38"/>
      <c r="B21" s="40"/>
      <c r="C21" s="5">
        <v>117.33333333333333</v>
      </c>
      <c r="D21" s="7">
        <f>D5</f>
        <v>185</v>
      </c>
      <c r="E21" s="7">
        <f>ABS(C21-D21)</f>
        <v>67.666666666666671</v>
      </c>
      <c r="F21" s="8">
        <f>SIN(RADIANS((E21+60)/2))/SIN(RADIANS(30))</f>
        <v>1.7950301510167455</v>
      </c>
    </row>
    <row r="22" spans="1:6" ht="18.649999999999999" customHeight="1" x14ac:dyDescent="0.45">
      <c r="A22" s="38"/>
      <c r="B22" s="40"/>
      <c r="C22" s="5">
        <v>116.66666666666667</v>
      </c>
      <c r="D22" s="7">
        <f>D5</f>
        <v>185</v>
      </c>
      <c r="E22" s="7">
        <f>ABS(C22-D22)</f>
        <v>68.333333333333329</v>
      </c>
      <c r="F22" s="8">
        <f>SIN(RADIANS((E22+60)/2))/SIN(RADIANS(30))</f>
        <v>1.8001308237282423</v>
      </c>
    </row>
    <row r="23" spans="1:6" ht="18.649999999999999" customHeight="1" x14ac:dyDescent="0.45">
      <c r="A23" s="26"/>
      <c r="B23" s="27"/>
      <c r="C23" s="5">
        <v>116</v>
      </c>
      <c r="D23" s="7">
        <f>D5</f>
        <v>185</v>
      </c>
      <c r="E23" s="7">
        <f>ABS(C23-D23)</f>
        <v>69</v>
      </c>
      <c r="F23" s="8">
        <f>SIN(RADIANS((E23+60)/2))/SIN(RADIANS(30))</f>
        <v>1.8051705686997213</v>
      </c>
    </row>
    <row r="24" spans="1:6" ht="18.649999999999999" customHeight="1" x14ac:dyDescent="0.45">
      <c r="A24" s="36" t="s">
        <v>2</v>
      </c>
      <c r="B24" s="32"/>
      <c r="C24" s="6">
        <f xml:space="preserve"> AVERAGE(F19:F23)</f>
        <v>1.7980753313341542</v>
      </c>
      <c r="D24" s="31" t="s">
        <v>7</v>
      </c>
      <c r="E24" s="32"/>
      <c r="F24" s="8">
        <f xml:space="preserve"> _xlfn.STDEV.P(F19:F23)</f>
        <v>4.3736342371319499E-3</v>
      </c>
    </row>
    <row r="25" spans="1:6" ht="18.649999999999999" customHeight="1" thickBot="1" x14ac:dyDescent="0.5">
      <c r="A25" s="35" t="s">
        <v>9</v>
      </c>
      <c r="B25" s="34"/>
      <c r="C25" s="3">
        <f>SQRT(1+($A$3*(B19*0.0001)^2)/((B19*0.0001)^2-$D$3)+($B$3*(B19*0.0001)^2)/((B19*0.0001)^2-$E$3)+($C$3*(B19*0.0001)^2)/((B19*0.0001)^2-$F$3))</f>
        <v>1.7918938900179449</v>
      </c>
      <c r="D25" s="33" t="s">
        <v>8</v>
      </c>
      <c r="E25" s="34"/>
      <c r="F25" s="4">
        <f xml:space="preserve"> ABS((C24-C25)/C25*100)</f>
        <v>0.3449669286024209</v>
      </c>
    </row>
    <row r="26" spans="1:6" ht="18.649999999999999" customHeight="1" thickTop="1" x14ac:dyDescent="0.45">
      <c r="A26" s="37" t="s">
        <v>13</v>
      </c>
      <c r="B26" s="39">
        <v>4916</v>
      </c>
      <c r="C26" s="5">
        <v>116</v>
      </c>
      <c r="D26" s="7">
        <f>D5</f>
        <v>185</v>
      </c>
      <c r="E26" s="7">
        <f>ABS(C26-D26)</f>
        <v>69</v>
      </c>
      <c r="F26" s="8">
        <f>SIN(RADIANS((E26+60)/2))/SIN(RADIANS(30))</f>
        <v>1.8051705686997213</v>
      </c>
    </row>
    <row r="27" spans="1:6" ht="18.649999999999999" customHeight="1" x14ac:dyDescent="0.45">
      <c r="A27" s="38"/>
      <c r="B27" s="40"/>
      <c r="C27" s="5">
        <v>116.33333333333333</v>
      </c>
      <c r="D27" s="7">
        <f>D5</f>
        <v>185</v>
      </c>
      <c r="E27" s="7">
        <f>ABS(C27-D27)</f>
        <v>68.666666666666671</v>
      </c>
      <c r="F27" s="8">
        <f>SIN(RADIANS((E27+60)/2))/SIN(RADIANS(30))</f>
        <v>1.8026583228909248</v>
      </c>
    </row>
    <row r="28" spans="1:6" ht="18.649999999999999" customHeight="1" x14ac:dyDescent="0.45">
      <c r="A28" s="38"/>
      <c r="B28" s="40"/>
      <c r="C28" s="5">
        <v>115</v>
      </c>
      <c r="D28" s="7">
        <f>D5</f>
        <v>185</v>
      </c>
      <c r="E28" s="7">
        <f>ABS(C28-D28)</f>
        <v>70</v>
      </c>
      <c r="F28" s="8">
        <f>SIN(RADIANS((E28+60)/2))/SIN(RADIANS(30))</f>
        <v>1.8126155740733001</v>
      </c>
    </row>
    <row r="29" spans="1:6" ht="18.649999999999999" customHeight="1" x14ac:dyDescent="0.45">
      <c r="A29" s="38"/>
      <c r="B29" s="40"/>
      <c r="C29" s="5">
        <v>114.66666666666667</v>
      </c>
      <c r="D29" s="7">
        <f>D5</f>
        <v>185</v>
      </c>
      <c r="E29" s="7">
        <f>ABS(C29-D29)</f>
        <v>70.333333333333329</v>
      </c>
      <c r="F29" s="8">
        <f>SIN(RADIANS((E29+60)/2))/SIN(RADIANS(30))</f>
        <v>1.8150665951840073</v>
      </c>
    </row>
    <row r="30" spans="1:6" ht="18.649999999999999" customHeight="1" x14ac:dyDescent="0.45">
      <c r="A30" s="26"/>
      <c r="B30" s="27"/>
      <c r="C30" s="5">
        <v>114</v>
      </c>
      <c r="D30" s="7">
        <f>D5</f>
        <v>185</v>
      </c>
      <c r="E30" s="7">
        <f>ABS(C30-D30)</f>
        <v>71</v>
      </c>
      <c r="F30" s="8">
        <f>SIN(RADIANS((E30+60)/2))/SIN(RADIANS(30))</f>
        <v>1.8199225417530867</v>
      </c>
    </row>
    <row r="31" spans="1:6" ht="18.649999999999999" customHeight="1" x14ac:dyDescent="0.45">
      <c r="A31" s="36" t="s">
        <v>2</v>
      </c>
      <c r="B31" s="32"/>
      <c r="C31" s="6">
        <f xml:space="preserve"> AVERAGE(F26:F30)</f>
        <v>1.8110867205202079</v>
      </c>
      <c r="D31" s="31" t="s">
        <v>7</v>
      </c>
      <c r="E31" s="32"/>
      <c r="F31" s="8">
        <f xml:space="preserve"> _xlfn.STDEV.P(F26:F30)</f>
        <v>6.3606174440237933E-3</v>
      </c>
    </row>
    <row r="32" spans="1:6" ht="18.649999999999999" customHeight="1" thickBot="1" x14ac:dyDescent="0.5">
      <c r="A32" s="35" t="s">
        <v>9</v>
      </c>
      <c r="B32" s="34"/>
      <c r="C32" s="3">
        <f>SQRT(1+($A$3*(B26*0.0001)^2)/((B26*0.0001)^2-$D$3)+($B$3*(B26*0.0001)^2)/((B26*0.0001)^2-$E$3)+($C$3*(B26*0.0001)^2)/((B26*0.0001)^2-$F$3))</f>
        <v>1.8048490063636622</v>
      </c>
      <c r="D32" s="33" t="s">
        <v>8</v>
      </c>
      <c r="E32" s="34"/>
      <c r="F32" s="4">
        <f xml:space="preserve"> ABS((C31-C32)/C32*100)</f>
        <v>0.3456086428588962</v>
      </c>
    </row>
    <row r="33" spans="1:6" ht="18.649999999999999" customHeight="1" thickTop="1" x14ac:dyDescent="0.45">
      <c r="A33" s="37" t="s">
        <v>14</v>
      </c>
      <c r="B33" s="39">
        <v>4358</v>
      </c>
      <c r="C33" s="5">
        <v>113</v>
      </c>
      <c r="D33" s="7">
        <f>D5</f>
        <v>185</v>
      </c>
      <c r="E33" s="7">
        <f>ABS(C33-D33)</f>
        <v>72</v>
      </c>
      <c r="F33" s="8">
        <f>SIN(RADIANS((E33+60)/2))/SIN(RADIANS(30))</f>
        <v>1.827090915285202</v>
      </c>
    </row>
    <row r="34" spans="1:6" ht="18.649999999999999" customHeight="1" x14ac:dyDescent="0.45">
      <c r="A34" s="38"/>
      <c r="B34" s="40"/>
      <c r="C34" s="5">
        <v>113.5</v>
      </c>
      <c r="D34" s="7">
        <f>D5</f>
        <v>185</v>
      </c>
      <c r="E34" s="7">
        <f>ABS(C34-D34)</f>
        <v>71.5</v>
      </c>
      <c r="F34" s="8">
        <f>SIN(RADIANS((E34+60)/2))/SIN(RADIANS(30))</f>
        <v>1.8235240871541774</v>
      </c>
    </row>
    <row r="35" spans="1:6" ht="18.649999999999999" customHeight="1" x14ac:dyDescent="0.45">
      <c r="A35" s="38"/>
      <c r="B35" s="40"/>
      <c r="C35" s="5">
        <v>113.66666666666667</v>
      </c>
      <c r="D35" s="7">
        <f>D5</f>
        <v>185</v>
      </c>
      <c r="E35" s="7">
        <f>ABS(C35-D35)</f>
        <v>71.333333333333329</v>
      </c>
      <c r="F35" s="8">
        <f>SIN(RADIANS((E35+60)/2))/SIN(RADIANS(30))</f>
        <v>1.8223274261224343</v>
      </c>
    </row>
    <row r="36" spans="1:6" ht="18.649999999999999" customHeight="1" x14ac:dyDescent="0.45">
      <c r="A36" s="38"/>
      <c r="B36" s="40"/>
      <c r="C36" s="5">
        <v>114</v>
      </c>
      <c r="D36" s="7">
        <f>D5</f>
        <v>185</v>
      </c>
      <c r="E36" s="7">
        <f>ABS(C36-D36)</f>
        <v>71</v>
      </c>
      <c r="F36" s="8">
        <f>SIN(RADIANS((E36+60)/2))/SIN(RADIANS(30))</f>
        <v>1.8199225417530867</v>
      </c>
    </row>
    <row r="37" spans="1:6" ht="18.649999999999999" customHeight="1" x14ac:dyDescent="0.45">
      <c r="A37" s="26"/>
      <c r="B37" s="27"/>
      <c r="C37" s="5">
        <v>113.5</v>
      </c>
      <c r="D37" s="7">
        <f>D5</f>
        <v>185</v>
      </c>
      <c r="E37" s="7">
        <f>ABS(C37-D37)</f>
        <v>71.5</v>
      </c>
      <c r="F37" s="8">
        <f>SIN(RADIANS((E37+60)/2))/SIN(RADIANS(30))</f>
        <v>1.8235240871541774</v>
      </c>
    </row>
    <row r="38" spans="1:6" ht="18.649999999999999" customHeight="1" x14ac:dyDescent="0.45">
      <c r="A38" s="36" t="s">
        <v>2</v>
      </c>
      <c r="B38" s="32"/>
      <c r="C38" s="6">
        <f xml:space="preserve"> AVERAGE(F33:F37)</f>
        <v>1.8232778114938157</v>
      </c>
      <c r="D38" s="31" t="s">
        <v>7</v>
      </c>
      <c r="E38" s="32"/>
      <c r="F38" s="8">
        <f xml:space="preserve"> _xlfn.STDEV.P(F33:F37)</f>
        <v>2.316123110408649E-3</v>
      </c>
    </row>
    <row r="39" spans="1:6" ht="18.649999999999999" customHeight="1" thickBot="1" x14ac:dyDescent="0.5">
      <c r="A39" s="35" t="s">
        <v>9</v>
      </c>
      <c r="B39" s="34"/>
      <c r="C39" s="3">
        <f>SQRT(1+($A$3*(B33*0.0001)^2)/((B33*0.0001)^2-$D$3)+($B$3*(B33*0.0001)^2)/((B33*0.0001)^2-$E$3)+($C$3*(B33*0.0001)^2)/((B33*0.0001)^2-$F$3))</f>
        <v>1.8251974418745132</v>
      </c>
      <c r="D39" s="33" t="s">
        <v>8</v>
      </c>
      <c r="E39" s="34"/>
      <c r="F39" s="4">
        <f xml:space="preserve"> ABS((C38-C39)/C39*100)</f>
        <v>0.10517384786195656</v>
      </c>
    </row>
    <row r="40" spans="1:6" ht="18.649999999999999" customHeight="1" thickTop="1" x14ac:dyDescent="0.45">
      <c r="A40" s="37" t="s">
        <v>15</v>
      </c>
      <c r="B40" s="39">
        <v>4078</v>
      </c>
      <c r="C40" s="5">
        <v>113</v>
      </c>
      <c r="D40" s="7">
        <f>D5</f>
        <v>185</v>
      </c>
      <c r="E40" s="7">
        <f>ABS(C40-D40)</f>
        <v>72</v>
      </c>
      <c r="F40" s="8">
        <f>SIN(RADIANS((E40+60)/2))/SIN(RADIANS(30))</f>
        <v>1.827090915285202</v>
      </c>
    </row>
    <row r="41" spans="1:6" ht="18.649999999999999" customHeight="1" x14ac:dyDescent="0.45">
      <c r="A41" s="38"/>
      <c r="B41" s="40"/>
      <c r="C41" s="5">
        <v>112.5</v>
      </c>
      <c r="D41" s="7">
        <f>D5</f>
        <v>185</v>
      </c>
      <c r="E41" s="7">
        <f>ABS(C41-D41)</f>
        <v>72.5</v>
      </c>
      <c r="F41" s="8">
        <f>SIN(RADIANS((E41+60)/2))/SIN(RADIANS(30))</f>
        <v>1.8306229582388944</v>
      </c>
    </row>
    <row r="42" spans="1:6" ht="18.649999999999999" customHeight="1" x14ac:dyDescent="0.45">
      <c r="A42" s="38"/>
      <c r="B42" s="40"/>
      <c r="C42" s="5">
        <v>112</v>
      </c>
      <c r="D42" s="7">
        <f>D5</f>
        <v>185</v>
      </c>
      <c r="E42" s="7">
        <f>ABS(C42-D42)</f>
        <v>73</v>
      </c>
      <c r="F42" s="8">
        <f>SIN(RADIANS((E42+60)/2))/SIN(RADIANS(30))</f>
        <v>1.8341201487702483</v>
      </c>
    </row>
    <row r="43" spans="1:6" ht="18.649999999999999" customHeight="1" x14ac:dyDescent="0.45">
      <c r="A43" s="38"/>
      <c r="B43" s="40"/>
      <c r="C43" s="5">
        <v>112.33333333333333</v>
      </c>
      <c r="D43" s="7">
        <f>D5</f>
        <v>185</v>
      </c>
      <c r="E43" s="7">
        <f>ABS(C43-D43)</f>
        <v>72.666666666666671</v>
      </c>
      <c r="F43" s="8">
        <f>SIN(RADIANS((E43+60)/2))/SIN(RADIANS(30))</f>
        <v>1.8317925642090225</v>
      </c>
    </row>
    <row r="44" spans="1:6" ht="18.649999999999999" customHeight="1" x14ac:dyDescent="0.45">
      <c r="A44" s="26"/>
      <c r="B44" s="27"/>
      <c r="C44" s="5">
        <v>111.5</v>
      </c>
      <c r="D44" s="7">
        <f>D5</f>
        <v>185</v>
      </c>
      <c r="E44" s="7">
        <f>ABS(C44-D44)</f>
        <v>73.5</v>
      </c>
      <c r="F44" s="8">
        <f>SIN(RADIANS((E44+60)/2))/SIN(RADIANS(30))</f>
        <v>1.8375824202977966</v>
      </c>
    </row>
    <row r="45" spans="1:6" ht="18.649999999999999" customHeight="1" x14ac:dyDescent="0.45">
      <c r="A45" s="36" t="s">
        <v>2</v>
      </c>
      <c r="B45" s="32"/>
      <c r="C45" s="6">
        <f xml:space="preserve"> AVERAGE(F40:F44)</f>
        <v>1.8322418013602326</v>
      </c>
      <c r="D45" s="31" t="s">
        <v>7</v>
      </c>
      <c r="E45" s="32"/>
      <c r="F45" s="8">
        <f xml:space="preserve"> _xlfn.STDEV.P(F40:F44)</f>
        <v>3.5044113359152355E-3</v>
      </c>
    </row>
    <row r="46" spans="1:6" ht="18.649999999999999" customHeight="1" thickBot="1" x14ac:dyDescent="0.5">
      <c r="A46" s="35" t="s">
        <v>9</v>
      </c>
      <c r="B46" s="34"/>
      <c r="C46" s="3">
        <f>SQRT(1+($A$3*(B40*0.0001)^2)/((B40*0.0001)^2-$D$3)+($B$3*(B40*0.0001)^2)/((B40*0.0001)^2-$E$3)+($C$3*(B40*0.0001)^2)/((B40*0.0001)^2-$F$3))</f>
        <v>1.8401150459324036</v>
      </c>
      <c r="D46" s="33" t="s">
        <v>8</v>
      </c>
      <c r="E46" s="34"/>
      <c r="F46" s="4">
        <f xml:space="preserve"> ABS((C45-C46)/C46*100)</f>
        <v>0.42786697438156818</v>
      </c>
    </row>
    <row r="47" spans="1:6" ht="18.649999999999999" customHeight="1" thickTop="1" x14ac:dyDescent="0.45">
      <c r="A47" s="37" t="s">
        <v>16</v>
      </c>
      <c r="B47" s="39">
        <v>4047</v>
      </c>
      <c r="C47" s="5">
        <v>111</v>
      </c>
      <c r="D47" s="7">
        <f>D5</f>
        <v>185</v>
      </c>
      <c r="E47" s="7">
        <f>ABS(C47-D47)</f>
        <v>74</v>
      </c>
      <c r="F47" s="8">
        <f>SIN(RADIANS((E47+60)/2))/SIN(RADIANS(30))</f>
        <v>1.841009706904881</v>
      </c>
    </row>
    <row r="48" spans="1:6" ht="18.649999999999999" customHeight="1" x14ac:dyDescent="0.45">
      <c r="A48" s="38"/>
      <c r="B48" s="40"/>
      <c r="C48" s="5">
        <v>111.33333333333333</v>
      </c>
      <c r="D48" s="7">
        <f>D5</f>
        <v>185</v>
      </c>
      <c r="E48" s="7">
        <f>ABS(C48-D48)</f>
        <v>73.666666666666671</v>
      </c>
      <c r="F48" s="8">
        <f>SIN(RADIANS((E48+60)/2))/SIN(RADIANS(30))</f>
        <v>1.8387287396161784</v>
      </c>
    </row>
    <row r="49" spans="1:6" ht="18.649999999999999" customHeight="1" x14ac:dyDescent="0.45">
      <c r="A49" s="38"/>
      <c r="B49" s="40"/>
      <c r="C49" s="5">
        <v>112</v>
      </c>
      <c r="D49" s="7">
        <f>D5</f>
        <v>185</v>
      </c>
      <c r="E49" s="7">
        <f>ABS(C49-D49)</f>
        <v>73</v>
      </c>
      <c r="F49" s="8">
        <f>SIN(RADIANS((E49+60)/2))/SIN(RADIANS(30))</f>
        <v>1.8341201487702483</v>
      </c>
    </row>
    <row r="50" spans="1:6" ht="18.649999999999999" customHeight="1" x14ac:dyDescent="0.45">
      <c r="A50" s="38"/>
      <c r="B50" s="40"/>
      <c r="C50" s="5">
        <v>112.33333333333333</v>
      </c>
      <c r="D50" s="7">
        <f>D5</f>
        <v>185</v>
      </c>
      <c r="E50" s="7">
        <f>ABS(C50-D50)</f>
        <v>72.666666666666671</v>
      </c>
      <c r="F50" s="8">
        <f>SIN(RADIANS((E50+60)/2))/SIN(RADIANS(30))</f>
        <v>1.8317925642090225</v>
      </c>
    </row>
    <row r="51" spans="1:6" ht="18.649999999999999" customHeight="1" x14ac:dyDescent="0.45">
      <c r="A51" s="26"/>
      <c r="B51" s="27"/>
      <c r="C51" s="5">
        <v>112.5</v>
      </c>
      <c r="D51" s="7">
        <f>D5</f>
        <v>185</v>
      </c>
      <c r="E51" s="7">
        <f>ABS(C51-D51)</f>
        <v>72.5</v>
      </c>
      <c r="F51" s="8">
        <f>SIN(RADIANS((E51+60)/2))/SIN(RADIANS(30))</f>
        <v>1.8306229582388944</v>
      </c>
    </row>
    <row r="52" spans="1:6" ht="18.649999999999999" customHeight="1" x14ac:dyDescent="0.45">
      <c r="A52" s="36" t="s">
        <v>2</v>
      </c>
      <c r="B52" s="32"/>
      <c r="C52" s="6">
        <f xml:space="preserve"> AVERAGE(F47:F51)</f>
        <v>1.8352548235478452</v>
      </c>
      <c r="D52" s="31" t="s">
        <v>7</v>
      </c>
      <c r="E52" s="32"/>
      <c r="F52" s="8">
        <f xml:space="preserve"> _xlfn.STDEV.P(F47:F51)</f>
        <v>3.997891397308149E-3</v>
      </c>
    </row>
    <row r="53" spans="1:6" ht="18.649999999999999" customHeight="1" thickBot="1" x14ac:dyDescent="0.5">
      <c r="A53" s="35" t="s">
        <v>9</v>
      </c>
      <c r="B53" s="34"/>
      <c r="C53" s="3">
        <f>SQRT(1+($A$3*(B47*0.0001)^2)/((B47*0.0001)^2-$D$3)+($B$3*(B47*0.0001)^2)/((B47*0.0001)^2-$E$3)+($C$3*(B47*0.0001)^2)/((B47*0.0001)^2-$F$3))</f>
        <v>1.8420526911940456</v>
      </c>
      <c r="D53" s="33" t="s">
        <v>8</v>
      </c>
      <c r="E53" s="34"/>
      <c r="F53" s="4">
        <f xml:space="preserve"> ABS((C52-C53)/C53*100)</f>
        <v>0.36903763278312662</v>
      </c>
    </row>
    <row r="54" spans="1:6" ht="18.649999999999999" customHeight="1" thickTop="1" x14ac:dyDescent="0.45"/>
  </sheetData>
  <mergeCells count="44">
    <mergeCell ref="D25:E25"/>
    <mergeCell ref="D24:E24"/>
    <mergeCell ref="D18:E18"/>
    <mergeCell ref="D53:E53"/>
    <mergeCell ref="D52:E52"/>
    <mergeCell ref="D46:E46"/>
    <mergeCell ref="D45:E45"/>
    <mergeCell ref="D39:E39"/>
    <mergeCell ref="D38:E38"/>
    <mergeCell ref="D32:E32"/>
    <mergeCell ref="D31:E31"/>
    <mergeCell ref="A53:B53"/>
    <mergeCell ref="A46:B46"/>
    <mergeCell ref="A47:A51"/>
    <mergeCell ref="B47:B51"/>
    <mergeCell ref="A52:B52"/>
    <mergeCell ref="A39:B39"/>
    <mergeCell ref="A40:A44"/>
    <mergeCell ref="B40:B44"/>
    <mergeCell ref="A45:B45"/>
    <mergeCell ref="A32:B32"/>
    <mergeCell ref="A33:A37"/>
    <mergeCell ref="B33:B37"/>
    <mergeCell ref="A38:B38"/>
    <mergeCell ref="A25:B25"/>
    <mergeCell ref="A26:A30"/>
    <mergeCell ref="B26:B30"/>
    <mergeCell ref="A31:B31"/>
    <mergeCell ref="A18:B18"/>
    <mergeCell ref="A19:A23"/>
    <mergeCell ref="B19:B23"/>
    <mergeCell ref="A24:B24"/>
    <mergeCell ref="A11:B11"/>
    <mergeCell ref="D11:E11"/>
    <mergeCell ref="A12:A16"/>
    <mergeCell ref="B12:B16"/>
    <mergeCell ref="A17:B17"/>
    <mergeCell ref="D17:E17"/>
    <mergeCell ref="A5:A9"/>
    <mergeCell ref="B5:B9"/>
    <mergeCell ref="A10:B10"/>
    <mergeCell ref="D10:E10"/>
    <mergeCell ref="A1:F1"/>
    <mergeCell ref="A4:B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編號1最小偏向角</vt:lpstr>
      <vt:lpstr>編號 1~8最小偏向角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楊善筑</dc:creator>
  <cp:lastModifiedBy>user</cp:lastModifiedBy>
  <dcterms:created xsi:type="dcterms:W3CDTF">2024-04-28T07:36:08Z</dcterms:created>
  <dcterms:modified xsi:type="dcterms:W3CDTF">2026-05-04T03:14:50Z</dcterms:modified>
</cp:coreProperties>
</file>