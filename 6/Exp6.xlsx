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大一下\普物實驗\實驗六\"/>
    </mc:Choice>
  </mc:AlternateContent>
  <xr:revisionPtr revIDLastSave="0" documentId="13_ncr:1_{9856F99E-0356-466C-93CC-B98B592AA1D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A" sheetId="1" r:id="rId1"/>
    <sheet name="B" sheetId="2" r:id="rId2"/>
    <sheet name="C" sheetId="7" r:id="rId3"/>
    <sheet name="D" sheetId="8" r:id="rId4"/>
    <sheet name="E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" i="8" l="1"/>
  <c r="G8" i="8"/>
  <c r="F8" i="8"/>
  <c r="E8" i="8"/>
  <c r="D8" i="8"/>
  <c r="C8" i="8"/>
  <c r="F2" i="8"/>
  <c r="D4" i="8" a="1"/>
  <c r="D3" i="1" a="1"/>
  <c r="D3" i="7" a="1"/>
  <c r="D3" i="8" a="1"/>
  <c r="D3" i="1" l="1"/>
  <c r="D4" i="8"/>
  <c r="D3" i="8"/>
  <c r="D3" i="7"/>
  <c r="D4" i="7" a="1"/>
  <c r="I10" i="8" l="1"/>
  <c r="F10" i="8"/>
  <c r="F11" i="8" s="1"/>
  <c r="E10" i="8"/>
  <c r="E11" i="8" s="1"/>
  <c r="D10" i="8"/>
  <c r="D11" i="8" s="1"/>
  <c r="C10" i="8"/>
  <c r="C11" i="8" s="1"/>
  <c r="G10" i="8"/>
  <c r="G11" i="8" s="1"/>
  <c r="H10" i="8"/>
  <c r="H11" i="8" s="1"/>
  <c r="D4" i="7"/>
  <c r="F2" i="7"/>
  <c r="D3" i="2" a="1"/>
  <c r="D3" i="2" l="1"/>
  <c r="D4" i="2" a="1"/>
  <c r="H9" i="7" l="1"/>
  <c r="H10" i="7" s="1"/>
  <c r="G9" i="7"/>
  <c r="G10" i="7" s="1"/>
  <c r="E9" i="7"/>
  <c r="E10" i="7" s="1"/>
  <c r="D9" i="7"/>
  <c r="D10" i="7" s="1"/>
  <c r="C9" i="7"/>
  <c r="C10" i="7" s="1"/>
  <c r="F9" i="7"/>
  <c r="F10" i="7" s="1"/>
  <c r="D4" i="2"/>
  <c r="F2" i="2" l="1"/>
  <c r="C9" i="2" s="1"/>
  <c r="C15" i="2" l="1"/>
  <c r="H9" i="2"/>
  <c r="F9" i="2"/>
  <c r="G9" i="2"/>
  <c r="D9" i="2"/>
  <c r="E9" i="2"/>
  <c r="C10" i="2"/>
  <c r="H15" i="2"/>
  <c r="F15" i="2"/>
  <c r="E15" i="2"/>
  <c r="G15" i="2"/>
  <c r="D15" i="2"/>
  <c r="E16" i="2" l="1"/>
  <c r="D16" i="2"/>
  <c r="C16" i="2"/>
  <c r="F16" i="2"/>
  <c r="H16" i="2"/>
  <c r="G16" i="2"/>
  <c r="H10" i="2"/>
  <c r="G10" i="2"/>
  <c r="F10" i="2"/>
  <c r="E10" i="2"/>
  <c r="D10" i="2"/>
  <c r="F2" i="1" l="1"/>
  <c r="D4" i="1" a="1"/>
  <c r="D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<sst xmlns="http://schemas.openxmlformats.org/spreadsheetml/2006/main" count="67" uniqueCount="46">
  <si>
    <t>場線圈平均半徑(m)</t>
    <phoneticPr fontId="3" type="noConversion"/>
  </si>
  <si>
    <r>
      <t>串聯電阻r(</t>
    </r>
    <r>
      <rPr>
        <sz val="12"/>
        <color theme="1"/>
        <rFont val="Calibri"/>
        <family val="4"/>
        <charset val="161"/>
      </rPr>
      <t>Ω</t>
    </r>
    <r>
      <rPr>
        <sz val="12"/>
        <color theme="1"/>
        <rFont val="標楷體"/>
        <family val="4"/>
        <charset val="136"/>
      </rPr>
      <t>)</t>
    </r>
    <phoneticPr fontId="3" type="noConversion"/>
  </si>
  <si>
    <r>
      <t>磁導率(µ</t>
    </r>
    <r>
      <rPr>
        <vertAlign val="subscript"/>
        <sz val="12"/>
        <color theme="1"/>
        <rFont val="標楷體"/>
        <family val="4"/>
        <charset val="136"/>
      </rPr>
      <t>0</t>
    </r>
    <r>
      <rPr>
        <sz val="12"/>
        <color theme="1"/>
        <rFont val="標楷體"/>
        <family val="4"/>
        <charset val="136"/>
      </rPr>
      <t>)(T·m/A)</t>
    </r>
    <phoneticPr fontId="3" type="noConversion"/>
  </si>
  <si>
    <r>
      <t>N</t>
    </r>
    <r>
      <rPr>
        <vertAlign val="subscript"/>
        <sz val="12"/>
        <color theme="1"/>
        <rFont val="標楷體"/>
        <family val="4"/>
        <charset val="136"/>
      </rPr>
      <t>D</t>
    </r>
    <r>
      <rPr>
        <sz val="12"/>
        <color theme="1"/>
        <rFont val="標楷體"/>
        <family val="4"/>
        <charset val="136"/>
      </rPr>
      <t>A</t>
    </r>
    <r>
      <rPr>
        <vertAlign val="subscript"/>
        <sz val="12"/>
        <color theme="1"/>
        <rFont val="標楷體"/>
        <family val="4"/>
        <charset val="136"/>
      </rPr>
      <t xml:space="preserve">D </t>
    </r>
    <r>
      <rPr>
        <sz val="12"/>
        <color theme="1"/>
        <rFont val="標楷體"/>
        <family val="4"/>
        <charset val="136"/>
      </rPr>
      <t>(400匝線圈) =</t>
    </r>
    <phoneticPr fontId="3" type="noConversion"/>
  </si>
  <si>
    <r>
      <t>N</t>
    </r>
    <r>
      <rPr>
        <vertAlign val="subscript"/>
        <sz val="12"/>
        <color theme="1"/>
        <rFont val="標楷體"/>
        <family val="4"/>
        <charset val="136"/>
      </rPr>
      <t>D</t>
    </r>
    <r>
      <rPr>
        <sz val="12"/>
        <color theme="1"/>
        <rFont val="標楷體"/>
        <family val="4"/>
        <charset val="136"/>
      </rPr>
      <t>A</t>
    </r>
    <r>
      <rPr>
        <vertAlign val="subscript"/>
        <sz val="12"/>
        <color theme="1"/>
        <rFont val="標楷體"/>
        <family val="4"/>
        <charset val="136"/>
      </rPr>
      <t xml:space="preserve">D </t>
    </r>
    <r>
      <rPr>
        <sz val="12"/>
        <color theme="1"/>
        <rFont val="標楷體"/>
        <family val="4"/>
        <charset val="136"/>
      </rPr>
      <t>(2000匝線圈) =</t>
    </r>
    <phoneticPr fontId="3" type="noConversion"/>
  </si>
  <si>
    <t>場線圈平均半徑(m)</t>
    <phoneticPr fontId="3" type="noConversion"/>
  </si>
  <si>
    <r>
      <t>磁導率(µ</t>
    </r>
    <r>
      <rPr>
        <vertAlign val="subscript"/>
        <sz val="12"/>
        <color theme="1"/>
        <rFont val="標楷體"/>
        <family val="4"/>
        <charset val="136"/>
      </rPr>
      <t>0</t>
    </r>
    <r>
      <rPr>
        <sz val="12"/>
        <color theme="1"/>
        <rFont val="標楷體"/>
        <family val="4"/>
        <charset val="136"/>
      </rPr>
      <t>)(T·m/A)</t>
    </r>
    <phoneticPr fontId="3" type="noConversion"/>
  </si>
  <si>
    <r>
      <t>N</t>
    </r>
    <r>
      <rPr>
        <vertAlign val="subscript"/>
        <sz val="12"/>
        <color theme="1"/>
        <rFont val="標楷體"/>
        <family val="4"/>
        <charset val="136"/>
      </rPr>
      <t>D</t>
    </r>
    <r>
      <rPr>
        <sz val="12"/>
        <color theme="1"/>
        <rFont val="標楷體"/>
        <family val="4"/>
        <charset val="136"/>
      </rPr>
      <t>A</t>
    </r>
    <r>
      <rPr>
        <vertAlign val="subscript"/>
        <sz val="12"/>
        <color theme="1"/>
        <rFont val="標楷體"/>
        <family val="4"/>
        <charset val="136"/>
      </rPr>
      <t xml:space="preserve">D </t>
    </r>
    <r>
      <rPr>
        <sz val="12"/>
        <color theme="1"/>
        <rFont val="標楷體"/>
        <family val="4"/>
        <charset val="136"/>
      </rPr>
      <t>(400匝線圈) =</t>
    </r>
    <phoneticPr fontId="3" type="noConversion"/>
  </si>
  <si>
    <r>
      <t>N</t>
    </r>
    <r>
      <rPr>
        <vertAlign val="subscript"/>
        <sz val="12"/>
        <color theme="1"/>
        <rFont val="標楷體"/>
        <family val="4"/>
        <charset val="136"/>
      </rPr>
      <t>D</t>
    </r>
    <r>
      <rPr>
        <sz val="12"/>
        <color theme="1"/>
        <rFont val="標楷體"/>
        <family val="4"/>
        <charset val="136"/>
      </rPr>
      <t>A</t>
    </r>
    <r>
      <rPr>
        <vertAlign val="subscript"/>
        <sz val="12"/>
        <color theme="1"/>
        <rFont val="標楷體"/>
        <family val="4"/>
        <charset val="136"/>
      </rPr>
      <t xml:space="preserve">D </t>
    </r>
    <r>
      <rPr>
        <sz val="12"/>
        <color theme="1"/>
        <rFont val="標楷體"/>
        <family val="4"/>
        <charset val="136"/>
      </rPr>
      <t>(2000匝線圈) =</t>
    </r>
    <phoneticPr fontId="3" type="noConversion"/>
  </si>
  <si>
    <t>波型：三角波</t>
    <phoneticPr fontId="3" type="noConversion"/>
  </si>
  <si>
    <t>匝數 = 400</t>
    <phoneticPr fontId="3" type="noConversion"/>
  </si>
  <si>
    <r>
      <t>輸入的峰對峰值 V</t>
    </r>
    <r>
      <rPr>
        <vertAlign val="subscript"/>
        <sz val="12"/>
        <color theme="1"/>
        <rFont val="標楷體"/>
        <family val="4"/>
        <charset val="136"/>
      </rPr>
      <t>F(p-p)</t>
    </r>
    <r>
      <rPr>
        <sz val="12"/>
        <color theme="1"/>
        <rFont val="標楷體"/>
        <family val="4"/>
        <charset val="136"/>
      </rPr>
      <t>(V) =</t>
    </r>
    <phoneticPr fontId="3" type="noConversion"/>
  </si>
  <si>
    <r>
      <t>|</t>
    </r>
    <r>
      <rPr>
        <sz val="12"/>
        <color theme="1"/>
        <rFont val="Calibri"/>
        <family val="4"/>
        <charset val="161"/>
      </rPr>
      <t>ε</t>
    </r>
    <r>
      <rPr>
        <vertAlign val="subscript"/>
        <sz val="12"/>
        <color theme="1"/>
        <rFont val="標楷體"/>
        <family val="4"/>
        <charset val="136"/>
      </rPr>
      <t>emf</t>
    </r>
    <r>
      <rPr>
        <sz val="12"/>
        <color theme="1"/>
        <rFont val="標楷體"/>
        <family val="4"/>
        <charset val="136"/>
      </rPr>
      <t>|實驗值(mV)</t>
    </r>
    <phoneticPr fontId="3" type="noConversion"/>
  </si>
  <si>
    <r>
      <t>|</t>
    </r>
    <r>
      <rPr>
        <sz val="12"/>
        <color theme="1"/>
        <rFont val="Calibri"/>
        <family val="4"/>
        <charset val="161"/>
      </rPr>
      <t>ε</t>
    </r>
    <r>
      <rPr>
        <vertAlign val="subscript"/>
        <sz val="12"/>
        <color theme="1"/>
        <rFont val="標楷體"/>
        <family val="4"/>
        <charset val="136"/>
      </rPr>
      <t>emf</t>
    </r>
    <r>
      <rPr>
        <sz val="12"/>
        <color theme="1"/>
        <rFont val="標楷體"/>
        <family val="4"/>
        <charset val="136"/>
      </rPr>
      <t>|理論值(mV)</t>
    </r>
    <phoneticPr fontId="3" type="noConversion"/>
  </si>
  <si>
    <t>百分誤差(%)</t>
    <phoneticPr fontId="3" type="noConversion"/>
  </si>
  <si>
    <t>波型：三角波</t>
    <phoneticPr fontId="3" type="noConversion"/>
  </si>
  <si>
    <t>匝數 = 2000</t>
    <phoneticPr fontId="3" type="noConversion"/>
  </si>
  <si>
    <r>
      <t>|</t>
    </r>
    <r>
      <rPr>
        <sz val="12"/>
        <color theme="1"/>
        <rFont val="Calibri"/>
        <family val="4"/>
        <charset val="161"/>
      </rPr>
      <t>ε</t>
    </r>
    <r>
      <rPr>
        <vertAlign val="subscript"/>
        <sz val="12"/>
        <color theme="1"/>
        <rFont val="標楷體"/>
        <family val="4"/>
        <charset val="136"/>
      </rPr>
      <t>emf</t>
    </r>
    <r>
      <rPr>
        <sz val="12"/>
        <color theme="1"/>
        <rFont val="標楷體"/>
        <family val="4"/>
        <charset val="136"/>
      </rPr>
      <t>|實驗值(mV)</t>
    </r>
    <phoneticPr fontId="3" type="noConversion"/>
  </si>
  <si>
    <r>
      <t>|</t>
    </r>
    <r>
      <rPr>
        <sz val="12"/>
        <color theme="1"/>
        <rFont val="Calibri"/>
        <family val="4"/>
        <charset val="161"/>
      </rPr>
      <t>ε</t>
    </r>
    <r>
      <rPr>
        <vertAlign val="subscript"/>
        <sz val="12"/>
        <color theme="1"/>
        <rFont val="標楷體"/>
        <family val="4"/>
        <charset val="136"/>
      </rPr>
      <t>emf</t>
    </r>
    <r>
      <rPr>
        <sz val="12"/>
        <color theme="1"/>
        <rFont val="標楷體"/>
        <family val="4"/>
        <charset val="136"/>
      </rPr>
      <t>|理論值(mV)</t>
    </r>
    <phoneticPr fontId="3" type="noConversion"/>
  </si>
  <si>
    <t>百分誤差(%)</t>
    <phoneticPr fontId="3" type="noConversion"/>
  </si>
  <si>
    <t>頻率f(Hz) =</t>
    <phoneticPr fontId="3" type="noConversion"/>
  </si>
  <si>
    <t>距離X(cm)</t>
    <phoneticPr fontId="3" type="noConversion"/>
  </si>
  <si>
    <t>距離X(cm) =</t>
    <phoneticPr fontId="3" type="noConversion"/>
  </si>
  <si>
    <t>匝數 = 2000</t>
    <phoneticPr fontId="3" type="noConversion"/>
  </si>
  <si>
    <t>距離X(cm) =</t>
    <phoneticPr fontId="3" type="noConversion"/>
  </si>
  <si>
    <t>頻率f(Hz) =</t>
    <phoneticPr fontId="3" type="noConversion"/>
  </si>
  <si>
    <r>
      <t>輸入的峰對峰值 V</t>
    </r>
    <r>
      <rPr>
        <vertAlign val="subscript"/>
        <sz val="12"/>
        <color theme="1"/>
        <rFont val="標楷體"/>
        <family val="4"/>
        <charset val="136"/>
      </rPr>
      <t>F(p-p)</t>
    </r>
    <r>
      <rPr>
        <sz val="12"/>
        <color theme="1"/>
        <rFont val="標楷體"/>
        <family val="4"/>
        <charset val="136"/>
      </rPr>
      <t>(V) =</t>
    </r>
    <phoneticPr fontId="3" type="noConversion"/>
  </si>
  <si>
    <t>波型</t>
    <phoneticPr fontId="3" type="noConversion"/>
  </si>
  <si>
    <t>三角波</t>
    <phoneticPr fontId="3" type="noConversion"/>
  </si>
  <si>
    <t>正弦波</t>
    <phoneticPr fontId="3" type="noConversion"/>
  </si>
  <si>
    <t>方波</t>
    <phoneticPr fontId="3" type="noConversion"/>
  </si>
  <si>
    <r>
      <t>線圈一</t>
    </r>
    <r>
      <rPr>
        <b/>
        <sz val="12"/>
        <color rgb="FFFF0000"/>
        <rFont val="標楷體"/>
        <family val="4"/>
        <charset val="136"/>
      </rPr>
      <t>(400匝)</t>
    </r>
    <phoneticPr fontId="3" type="noConversion"/>
  </si>
  <si>
    <r>
      <t>線圈二</t>
    </r>
    <r>
      <rPr>
        <b/>
        <sz val="12"/>
        <color rgb="FFFF0000"/>
        <rFont val="標楷體"/>
        <family val="4"/>
        <charset val="136"/>
      </rPr>
      <t>(2000匝)</t>
    </r>
    <phoneticPr fontId="3" type="noConversion"/>
  </si>
  <si>
    <r>
      <t>輸入的峰對峰值 V</t>
    </r>
    <r>
      <rPr>
        <vertAlign val="subscript"/>
        <sz val="12"/>
        <color theme="1"/>
        <rFont val="標楷體"/>
        <family val="4"/>
        <charset val="136"/>
      </rPr>
      <t>F(p-p)</t>
    </r>
    <r>
      <rPr>
        <sz val="12"/>
        <color theme="1"/>
        <rFont val="標楷體"/>
        <family val="4"/>
        <charset val="136"/>
      </rPr>
      <t>(V) =</t>
    </r>
    <phoneticPr fontId="3" type="noConversion"/>
  </si>
  <si>
    <r>
      <t>輸入的峰對峰值 V</t>
    </r>
    <r>
      <rPr>
        <vertAlign val="subscript"/>
        <sz val="12"/>
        <color theme="1"/>
        <rFont val="標楷體"/>
        <family val="4"/>
        <charset val="136"/>
      </rPr>
      <t>F(p-p)</t>
    </r>
    <r>
      <rPr>
        <sz val="12"/>
        <color theme="1"/>
        <rFont val="標楷體"/>
        <family val="4"/>
        <charset val="136"/>
      </rPr>
      <t>(V) =</t>
    </r>
    <phoneticPr fontId="3" type="noConversion"/>
  </si>
  <si>
    <r>
      <t>串聯電阻r(</t>
    </r>
    <r>
      <rPr>
        <sz val="12"/>
        <color theme="1"/>
        <rFont val="Calibri"/>
        <family val="4"/>
        <charset val="161"/>
      </rPr>
      <t>Ω</t>
    </r>
    <r>
      <rPr>
        <sz val="12"/>
        <color theme="1"/>
        <rFont val="標楷體"/>
        <family val="4"/>
        <charset val="136"/>
      </rPr>
      <t>)</t>
    </r>
    <phoneticPr fontId="3" type="noConversion"/>
  </si>
  <si>
    <r>
      <t>|</t>
    </r>
    <r>
      <rPr>
        <sz val="12"/>
        <color theme="1"/>
        <rFont val="Calibri"/>
        <family val="4"/>
        <charset val="161"/>
      </rPr>
      <t>ε</t>
    </r>
    <r>
      <rPr>
        <vertAlign val="subscript"/>
        <sz val="12"/>
        <color theme="1"/>
        <rFont val="標楷體"/>
        <family val="4"/>
        <charset val="136"/>
      </rPr>
      <t>emf</t>
    </r>
    <r>
      <rPr>
        <sz val="12"/>
        <color theme="1"/>
        <rFont val="標楷體"/>
        <family val="4"/>
        <charset val="136"/>
      </rPr>
      <t>|實驗值(mV)</t>
    </r>
    <phoneticPr fontId="3" type="noConversion"/>
  </si>
  <si>
    <t>頻率f(kHz)</t>
    <phoneticPr fontId="3" type="noConversion"/>
  </si>
  <si>
    <r>
      <t>|</t>
    </r>
    <r>
      <rPr>
        <sz val="12"/>
        <color theme="1"/>
        <rFont val="Calibri"/>
        <family val="4"/>
        <charset val="161"/>
      </rPr>
      <t>ε</t>
    </r>
    <r>
      <rPr>
        <vertAlign val="subscript"/>
        <sz val="12"/>
        <color theme="1"/>
        <rFont val="標楷體"/>
        <family val="4"/>
        <charset val="136"/>
      </rPr>
      <t>emf</t>
    </r>
    <r>
      <rPr>
        <sz val="12"/>
        <color theme="1"/>
        <rFont val="標楷體"/>
        <family val="4"/>
        <charset val="136"/>
      </rPr>
      <t>|理論值(mV)</t>
    </r>
    <phoneticPr fontId="3" type="noConversion"/>
  </si>
  <si>
    <t>頻率f(kHz)</t>
    <phoneticPr fontId="3" type="noConversion"/>
  </si>
  <si>
    <r>
      <t>θ</t>
    </r>
    <r>
      <rPr>
        <b/>
        <sz val="12"/>
        <color theme="1"/>
        <rFont val="標楷體"/>
        <family val="4"/>
        <charset val="136"/>
      </rPr>
      <t>(°)</t>
    </r>
    <phoneticPr fontId="3" type="noConversion"/>
  </si>
  <si>
    <r>
      <t>cos</t>
    </r>
    <r>
      <rPr>
        <b/>
        <sz val="12"/>
        <color theme="1"/>
        <rFont val="新細明體"/>
        <family val="1"/>
        <charset val="136"/>
      </rPr>
      <t>θ</t>
    </r>
    <phoneticPr fontId="3" type="noConversion"/>
  </si>
  <si>
    <r>
      <t>磁導率(µ</t>
    </r>
    <r>
      <rPr>
        <vertAlign val="subscript"/>
        <sz val="12"/>
        <color theme="1"/>
        <rFont val="標楷體"/>
        <family val="4"/>
        <charset val="136"/>
      </rPr>
      <t>0</t>
    </r>
    <r>
      <rPr>
        <sz val="12"/>
        <color theme="1"/>
        <rFont val="標楷體"/>
        <family val="4"/>
        <charset val="136"/>
      </rPr>
      <t>)(T·m/A)</t>
    </r>
    <phoneticPr fontId="3" type="noConversion"/>
  </si>
  <si>
    <r>
      <t>|</t>
    </r>
    <r>
      <rPr>
        <sz val="12"/>
        <color theme="1"/>
        <rFont val="Calibri"/>
        <family val="4"/>
        <charset val="161"/>
      </rPr>
      <t>ε</t>
    </r>
    <r>
      <rPr>
        <vertAlign val="subscript"/>
        <sz val="12"/>
        <color theme="1"/>
        <rFont val="標楷體"/>
        <family val="4"/>
        <charset val="136"/>
      </rPr>
      <t>emf</t>
    </r>
    <r>
      <rPr>
        <sz val="12"/>
        <color theme="1"/>
        <rFont val="標楷體"/>
        <family val="4"/>
        <charset val="136"/>
      </rPr>
      <t>|實驗值(mV)</t>
    </r>
    <phoneticPr fontId="3" type="noConversion"/>
  </si>
  <si>
    <t>場線圈匝數</t>
    <phoneticPr fontId="3" type="noConversion"/>
  </si>
  <si>
    <t>輸入與輸出訊號波形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</si>
</sst>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E+00"/>
    <numFmt numFmtId="177" formatCode="0.000"/>
    <numFmt numFmtId="178" formatCode="0.000_ "/>
  </numFmts>
  <fonts count="1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Calibri"/>
      <family val="4"/>
      <charset val="161"/>
    </font>
    <font>
      <vertAlign val="subscript"/>
      <sz val="12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1"/>
      <name val="Calibri"/>
      <family val="4"/>
      <charset val="161"/>
    </font>
    <font>
      <b/>
      <sz val="12"/>
      <color theme="1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</fills>
  <borders count="3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2" borderId="5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2" fontId="2" fillId="3" borderId="14" xfId="0" applyNumberFormat="1" applyFont="1" applyFill="1" applyBorder="1" applyAlignment="1">
      <alignment horizontal="center" vertical="center"/>
    </xf>
    <xf numFmtId="2" fontId="2" fillId="3" borderId="15" xfId="0" applyNumberFormat="1" applyFont="1" applyFill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2" fontId="2" fillId="0" borderId="15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78" fontId="2" fillId="0" borderId="1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2" borderId="14" xfId="1" applyFont="1" applyBorder="1" applyAlignment="1">
      <alignment horizontal="center" vertical="center"/>
    </xf>
    <xf numFmtId="2" fontId="2" fillId="0" borderId="19" xfId="0" applyNumberFormat="1" applyFont="1" applyBorder="1" applyAlignment="1">
      <alignment horizontal="center" vertical="center"/>
    </xf>
    <xf numFmtId="0" fontId="2" fillId="4" borderId="14" xfId="1" applyFont="1" applyFill="1" applyBorder="1" applyAlignment="1">
      <alignment horizontal="center" vertical="center"/>
    </xf>
    <xf numFmtId="177" fontId="2" fillId="0" borderId="20" xfId="1" applyNumberFormat="1" applyFont="1" applyFill="1" applyBorder="1" applyAlignment="1">
      <alignment horizontal="center" vertical="center"/>
    </xf>
    <xf numFmtId="177" fontId="2" fillId="0" borderId="21" xfId="1" applyNumberFormat="1" applyFont="1" applyFill="1" applyBorder="1" applyAlignment="1">
      <alignment horizontal="center" vertical="center"/>
    </xf>
    <xf numFmtId="177" fontId="2" fillId="0" borderId="22" xfId="1" applyNumberFormat="1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7" fontId="2" fillId="0" borderId="2" xfId="1" applyNumberFormat="1" applyFont="1" applyFill="1" applyBorder="1" applyAlignment="1">
      <alignment horizontal="center" vertical="center"/>
    </xf>
    <xf numFmtId="177" fontId="2" fillId="0" borderId="3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1" applyFont="1" applyFill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77" fontId="2" fillId="4" borderId="14" xfId="1" applyNumberFormat="1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4" xfId="1" applyFont="1" applyFill="1" applyBorder="1" applyAlignment="1">
      <alignment horizontal="center" vertical="center"/>
    </xf>
    <xf numFmtId="176" fontId="2" fillId="4" borderId="14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77" fontId="2" fillId="0" borderId="16" xfId="1" applyNumberFormat="1" applyFont="1" applyFill="1" applyBorder="1" applyAlignment="1">
      <alignment horizontal="center" vertical="center"/>
    </xf>
    <xf numFmtId="177" fontId="2" fillId="0" borderId="17" xfId="1" applyNumberFormat="1" applyFont="1" applyFill="1" applyBorder="1" applyAlignment="1">
      <alignment horizontal="center" vertical="center"/>
    </xf>
    <xf numFmtId="177" fontId="2" fillId="0" borderId="18" xfId="1" applyNumberFormat="1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76" fontId="2" fillId="0" borderId="14" xfId="0" applyNumberFormat="1" applyFont="1" applyBorder="1" applyAlignment="1">
      <alignment horizontal="center" vertical="center"/>
    </xf>
    <xf numFmtId="177" fontId="2" fillId="0" borderId="14" xfId="1" applyNumberFormat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2" fillId="0" borderId="14" xfId="1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</cellXfs>
  <cellStyles count="2">
    <cellStyle name="20% - 輔色6" xfId="1" builtinId="50"/>
    <cellStyle name="一般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感應電動勢對頻率的關係</a:t>
            </a: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(400</a:t>
            </a: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匝</a:t>
            </a: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4674759405074367"/>
          <c:y val="0.17685185185185184"/>
          <c:w val="0.78069685039370074"/>
          <c:h val="0.61426727909011369"/>
        </c:manualLayout>
      </c:layout>
      <c:scatterChart>
        <c:scatterStyle val="smoothMarker"/>
        <c:varyColors val="0"/>
        <c:ser>
          <c:idx val="1"/>
          <c:order val="0"/>
          <c:tx>
            <c:v>理論值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B!$C$7:$H$7</c:f>
              <c:numCache>
                <c:formatCode>General</c:formatCode>
                <c:ptCount val="6"/>
                <c:pt idx="0">
                  <c:v>1</c:v>
                </c:pt>
                <c:pt idx="1">
                  <c:v>1.2</c:v>
                </c:pt>
                <c:pt idx="2">
                  <c:v>1.4</c:v>
                </c:pt>
                <c:pt idx="3">
                  <c:v>1.6</c:v>
                </c:pt>
                <c:pt idx="4">
                  <c:v>1.8</c:v>
                </c:pt>
                <c:pt idx="5">
                  <c:v>2</c:v>
                </c:pt>
              </c:numCache>
            </c:numRef>
          </c:xVal>
          <c:yVal>
            <c:numRef>
              <c:f>B!$C$9:$H$9</c:f>
              <c:numCache>
                <c:formatCode>0.00</c:formatCode>
                <c:ptCount val="6"/>
                <c:pt idx="0">
                  <c:v>1.8634277651413376</c:v>
                </c:pt>
                <c:pt idx="1">
                  <c:v>2.2361133181696053</c:v>
                </c:pt>
                <c:pt idx="2">
                  <c:v>2.6087988711978722</c:v>
                </c:pt>
                <c:pt idx="3">
                  <c:v>2.9814844242261405</c:v>
                </c:pt>
                <c:pt idx="4">
                  <c:v>3.3541699772544078</c:v>
                </c:pt>
                <c:pt idx="5">
                  <c:v>3.7268555302826751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19A-4746-964D-55328D74C034}"/>
            </c:ext>
          </c:extLst>
        </c:ser>
        <c:ser>
          <c:idx val="0"/>
          <c:order val="1"/>
          <c:tx>
            <c:v>實驗值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B!$C$7:$H$7</c:f>
              <c:numCache>
                <c:formatCode>General</c:formatCode>
                <c:ptCount val="6"/>
                <c:pt idx="0">
                  <c:v>1</c:v>
                </c:pt>
                <c:pt idx="1">
                  <c:v>1.2</c:v>
                </c:pt>
                <c:pt idx="2">
                  <c:v>1.4</c:v>
                </c:pt>
                <c:pt idx="3">
                  <c:v>1.6</c:v>
                </c:pt>
                <c:pt idx="4">
                  <c:v>1.8</c:v>
                </c:pt>
                <c:pt idx="5">
                  <c:v>2</c:v>
                </c:pt>
              </c:numCache>
            </c:numRef>
          </c:xVal>
          <c:yVal>
            <c:numRef>
              <c:f>B!$C$8:$H$8</c:f>
              <c:numCache>
                <c:formatCode>0.00</c:formatCode>
                <c:ptCount val="6"/>
                <c:pt idx="0">
                  <c:v>2</c:v>
                </c:pt>
                <c:pt idx="1">
                  <c:v>2.2999999999999998</c:v>
                </c:pt>
                <c:pt idx="2">
                  <c:v>2.8</c:v>
                </c:pt>
                <c:pt idx="3">
                  <c:v>2.9</c:v>
                </c:pt>
                <c:pt idx="4">
                  <c:v>3.3</c:v>
                </c:pt>
                <c:pt idx="5">
                  <c:v>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19A-4746-964D-55328D74C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9824"/>
        <c:axId val="732750304"/>
      </c:scatterChart>
      <c:valAx>
        <c:axId val="732749824"/>
        <c:scaling>
          <c:orientation val="minMax"/>
          <c:max val="2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000" b="0" i="0" u="none" strike="noStrike" baseline="0">
                    <a:latin typeface="標楷體" panose="03000509000000000000" pitchFamily="65" charset="-120"/>
                    <a:ea typeface="標楷體" panose="03000509000000000000" pitchFamily="65" charset="-120"/>
                  </a:rPr>
                  <a:t>頻率</a:t>
                </a:r>
                <a:r>
                  <a:rPr lang="en-US" altLang="zh-TW" sz="1000" b="0" i="0" u="none" strike="noStrike" baseline="0">
                    <a:latin typeface="標楷體" panose="03000509000000000000" pitchFamily="65" charset="-120"/>
                    <a:ea typeface="標楷體" panose="03000509000000000000" pitchFamily="65" charset="-120"/>
                  </a:rPr>
                  <a:t>(Hz)</a:t>
                </a:r>
                <a:endParaRPr lang="zh-TW" altLang="en-US">
                  <a:latin typeface="標楷體" panose="03000509000000000000" pitchFamily="65" charset="-120"/>
                  <a:ea typeface="標楷體" panose="03000509000000000000" pitchFamily="65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32750304"/>
        <c:crosses val="autoZero"/>
        <c:crossBetween val="midCat"/>
      </c:valAx>
      <c:valAx>
        <c:axId val="73275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000" b="0" i="0" u="none" strike="noStrike" baseline="0">
                    <a:latin typeface="標楷體" panose="03000509000000000000" pitchFamily="65" charset="-120"/>
                    <a:ea typeface="標楷體" panose="03000509000000000000" pitchFamily="65" charset="-120"/>
                  </a:rPr>
                  <a:t>感應電動勢</a:t>
                </a:r>
                <a:r>
                  <a:rPr lang="en-US" altLang="zh-TW" sz="1000" b="0" i="0" u="none" strike="noStrike" baseline="0">
                    <a:latin typeface="標楷體" panose="03000509000000000000" pitchFamily="65" charset="-120"/>
                    <a:ea typeface="標楷體" panose="03000509000000000000" pitchFamily="65" charset="-120"/>
                  </a:rPr>
                  <a:t>(mV)</a:t>
                </a:r>
                <a:endParaRPr lang="zh-TW" altLang="en-US">
                  <a:latin typeface="標楷體" panose="03000509000000000000" pitchFamily="65" charset="-120"/>
                  <a:ea typeface="標楷體" panose="03000509000000000000" pitchFamily="65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32749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499999999999996"/>
          <c:y val="2.1874453193350827E-2"/>
          <c:w val="0.1583333333333333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感應電動勢對頻率的關係</a:t>
            </a:r>
            <a:r>
              <a:rPr lang="en-US" altLang="zh-TW"/>
              <a:t>(2000</a:t>
            </a:r>
            <a:r>
              <a:rPr lang="zh-TW" altLang="en-US"/>
              <a:t>匝</a:t>
            </a:r>
            <a:r>
              <a:rPr lang="en-US" altLang="zh-TW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5941426071741033"/>
          <c:y val="0.17685185185185184"/>
          <c:w val="0.76803018372703413"/>
          <c:h val="0.61426727909011369"/>
        </c:manualLayout>
      </c:layout>
      <c:scatterChart>
        <c:scatterStyle val="smoothMarker"/>
        <c:varyColors val="0"/>
        <c:ser>
          <c:idx val="1"/>
          <c:order val="0"/>
          <c:tx>
            <c:v>理論值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B!$C$13:$H$13</c:f>
              <c:numCache>
                <c:formatCode>General</c:formatCode>
                <c:ptCount val="6"/>
                <c:pt idx="0">
                  <c:v>1</c:v>
                </c:pt>
                <c:pt idx="1">
                  <c:v>1.2</c:v>
                </c:pt>
                <c:pt idx="2">
                  <c:v>1.4</c:v>
                </c:pt>
                <c:pt idx="3">
                  <c:v>1.6</c:v>
                </c:pt>
                <c:pt idx="4">
                  <c:v>1.8</c:v>
                </c:pt>
                <c:pt idx="5">
                  <c:v>2</c:v>
                </c:pt>
              </c:numCache>
            </c:numRef>
          </c:xVal>
          <c:yVal>
            <c:numRef>
              <c:f>B!$C$15:$H$15</c:f>
              <c:numCache>
                <c:formatCode>0.00</c:formatCode>
                <c:ptCount val="6"/>
                <c:pt idx="0">
                  <c:v>9.1224382918743316</c:v>
                </c:pt>
                <c:pt idx="1">
                  <c:v>10.946925950249197</c:v>
                </c:pt>
                <c:pt idx="2">
                  <c:v>12.771413608624064</c:v>
                </c:pt>
                <c:pt idx="3">
                  <c:v>14.595901266998931</c:v>
                </c:pt>
                <c:pt idx="4">
                  <c:v>16.4203889253738</c:v>
                </c:pt>
                <c:pt idx="5">
                  <c:v>18.244876583748663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12-4FBE-BB70-A24B755A6F3C}"/>
            </c:ext>
          </c:extLst>
        </c:ser>
        <c:ser>
          <c:idx val="0"/>
          <c:order val="1"/>
          <c:tx>
            <c:v>實驗值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B!$C$13:$H$13</c:f>
              <c:numCache>
                <c:formatCode>General</c:formatCode>
                <c:ptCount val="6"/>
                <c:pt idx="0">
                  <c:v>1</c:v>
                </c:pt>
                <c:pt idx="1">
                  <c:v>1.2</c:v>
                </c:pt>
                <c:pt idx="2">
                  <c:v>1.4</c:v>
                </c:pt>
                <c:pt idx="3">
                  <c:v>1.6</c:v>
                </c:pt>
                <c:pt idx="4">
                  <c:v>1.8</c:v>
                </c:pt>
                <c:pt idx="5">
                  <c:v>2</c:v>
                </c:pt>
              </c:numCache>
            </c:numRef>
          </c:xVal>
          <c:yVal>
            <c:numRef>
              <c:f>B!$C$14:$H$14</c:f>
              <c:numCache>
                <c:formatCode>0.00</c:formatCode>
                <c:ptCount val="6"/>
                <c:pt idx="0">
                  <c:v>9.6</c:v>
                </c:pt>
                <c:pt idx="1">
                  <c:v>10.8</c:v>
                </c:pt>
                <c:pt idx="2">
                  <c:v>12.4</c:v>
                </c:pt>
                <c:pt idx="3">
                  <c:v>14</c:v>
                </c:pt>
                <c:pt idx="4">
                  <c:v>15.6</c:v>
                </c:pt>
                <c:pt idx="5">
                  <c:v>17.600000000000001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12-4FBE-BB70-A24B755A6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9824"/>
        <c:axId val="732750304"/>
      </c:scatterChart>
      <c:valAx>
        <c:axId val="732749824"/>
        <c:scaling>
          <c:orientation val="minMax"/>
          <c:max val="2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000" b="0" i="0" u="none" strike="noStrike" baseline="0">
                    <a:latin typeface="標楷體" panose="03000509000000000000" pitchFamily="65" charset="-120"/>
                    <a:ea typeface="標楷體" panose="03000509000000000000" pitchFamily="65" charset="-120"/>
                  </a:rPr>
                  <a:t>頻率</a:t>
                </a:r>
                <a:r>
                  <a:rPr lang="en-US" altLang="zh-TW" sz="1000" b="0" i="0" u="none" strike="noStrike" baseline="0">
                    <a:latin typeface="標楷體" panose="03000509000000000000" pitchFamily="65" charset="-120"/>
                    <a:ea typeface="標楷體" panose="03000509000000000000" pitchFamily="65" charset="-120"/>
                  </a:rPr>
                  <a:t>(Hz)</a:t>
                </a:r>
                <a:endParaRPr lang="zh-TW" altLang="en-US">
                  <a:latin typeface="標楷體" panose="03000509000000000000" pitchFamily="65" charset="-120"/>
                  <a:ea typeface="標楷體" panose="03000509000000000000" pitchFamily="65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32750304"/>
        <c:crosses val="autoZero"/>
        <c:crossBetween val="midCat"/>
      </c:valAx>
      <c:valAx>
        <c:axId val="73275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000" b="0" i="0" u="none" strike="noStrike" baseline="0">
                    <a:latin typeface="標楷體" panose="03000509000000000000" pitchFamily="65" charset="-120"/>
                    <a:ea typeface="標楷體" panose="03000509000000000000" pitchFamily="65" charset="-120"/>
                  </a:rPr>
                  <a:t>感應電動勢</a:t>
                </a:r>
                <a:r>
                  <a:rPr lang="en-US" altLang="zh-TW" sz="1000" b="0" i="0" u="none" strike="noStrike" baseline="0">
                    <a:latin typeface="標楷體" panose="03000509000000000000" pitchFamily="65" charset="-120"/>
                    <a:ea typeface="標楷體" panose="03000509000000000000" pitchFamily="65" charset="-120"/>
                  </a:rPr>
                  <a:t>(mV)</a:t>
                </a:r>
                <a:endParaRPr lang="zh-TW" altLang="en-US">
                  <a:latin typeface="標楷體" panose="03000509000000000000" pitchFamily="65" charset="-120"/>
                  <a:ea typeface="標楷體" panose="03000509000000000000" pitchFamily="65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32749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499999999999996"/>
          <c:y val="1.7244823563721205E-2"/>
          <c:w val="0.1583333333333333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感應電動勢對距離的關係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4674759405074367"/>
          <c:y val="0.17685185185185184"/>
          <c:w val="0.78225240594925638"/>
          <c:h val="0.61426727909011369"/>
        </c:manualLayout>
      </c:layout>
      <c:scatterChart>
        <c:scatterStyle val="smoothMarker"/>
        <c:varyColors val="0"/>
        <c:ser>
          <c:idx val="1"/>
          <c:order val="0"/>
          <c:tx>
            <c:v>理論值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'C'!$C$7:$H$7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xVal>
          <c:yVal>
            <c:numRef>
              <c:f>'C'!$C$9:$H$9</c:f>
              <c:numCache>
                <c:formatCode>0.00</c:formatCode>
                <c:ptCount val="6"/>
                <c:pt idx="0">
                  <c:v>18.244876583748674</c:v>
                </c:pt>
                <c:pt idx="1">
                  <c:v>17.259602781307994</c:v>
                </c:pt>
                <c:pt idx="2">
                  <c:v>14.778571717157632</c:v>
                </c:pt>
                <c:pt idx="3">
                  <c:v>11.770836646484369</c:v>
                </c:pt>
                <c:pt idx="4">
                  <c:v>8.9874074746002055</c:v>
                </c:pt>
                <c:pt idx="5">
                  <c:v>6.7385619478713279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83-4358-9562-3B1337C20BA2}"/>
            </c:ext>
          </c:extLst>
        </c:ser>
        <c:ser>
          <c:idx val="0"/>
          <c:order val="1"/>
          <c:tx>
            <c:v>實驗值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'C'!$C$7:$H$7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xVal>
          <c:yVal>
            <c:numRef>
              <c:f>'C'!$C$8:$H$8</c:f>
              <c:numCache>
                <c:formatCode>0.00</c:formatCode>
                <c:ptCount val="6"/>
                <c:pt idx="0">
                  <c:v>17.600000000000001</c:v>
                </c:pt>
                <c:pt idx="1">
                  <c:v>17.600000000000001</c:v>
                </c:pt>
                <c:pt idx="2">
                  <c:v>14.8</c:v>
                </c:pt>
                <c:pt idx="3">
                  <c:v>12</c:v>
                </c:pt>
                <c:pt idx="4">
                  <c:v>8.8000000000000007</c:v>
                </c:pt>
                <c:pt idx="5">
                  <c:v>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83-4358-9562-3B1337C20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9824"/>
        <c:axId val="732750304"/>
      </c:scatterChart>
      <c:valAx>
        <c:axId val="732749824"/>
        <c:scaling>
          <c:orientation val="minMax"/>
          <c:max val="1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000" b="0" i="0" u="none" strike="noStrike" baseline="0">
                    <a:latin typeface="標楷體" panose="03000509000000000000" pitchFamily="65" charset="-120"/>
                    <a:ea typeface="標楷體" panose="03000509000000000000" pitchFamily="65" charset="-120"/>
                  </a:rPr>
                  <a:t>距離</a:t>
                </a:r>
                <a:r>
                  <a:rPr lang="en-US" altLang="zh-TW" sz="1000" b="0" i="0" u="none" strike="noStrike" baseline="0">
                    <a:latin typeface="標楷體" panose="03000509000000000000" pitchFamily="65" charset="-120"/>
                    <a:ea typeface="標楷體" panose="03000509000000000000" pitchFamily="65" charset="-120"/>
                  </a:rPr>
                  <a:t>(cm)</a:t>
                </a:r>
                <a:endParaRPr lang="zh-TW" altLang="en-US">
                  <a:latin typeface="標楷體" panose="03000509000000000000" pitchFamily="65" charset="-120"/>
                  <a:ea typeface="標楷體" panose="03000509000000000000" pitchFamily="65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32750304"/>
        <c:crosses val="autoZero"/>
        <c:crossBetween val="midCat"/>
      </c:valAx>
      <c:valAx>
        <c:axId val="73275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000" b="0" i="0" u="none" strike="noStrike" baseline="0">
                    <a:latin typeface="標楷體" panose="03000509000000000000" pitchFamily="65" charset="-120"/>
                    <a:ea typeface="標楷體" panose="03000509000000000000" pitchFamily="65" charset="-120"/>
                  </a:rPr>
                  <a:t>感應電動勢</a:t>
                </a:r>
                <a:r>
                  <a:rPr lang="en-US" altLang="zh-TW" sz="1000" b="0" i="0" u="none" strike="noStrike" baseline="0">
                    <a:latin typeface="標楷體" panose="03000509000000000000" pitchFamily="65" charset="-120"/>
                    <a:ea typeface="標楷體" panose="03000509000000000000" pitchFamily="65" charset="-120"/>
                  </a:rPr>
                  <a:t>(mV)</a:t>
                </a:r>
                <a:endParaRPr lang="zh-TW" altLang="en-US">
                  <a:latin typeface="標楷體" panose="03000509000000000000" pitchFamily="65" charset="-120"/>
                  <a:ea typeface="標楷體" panose="03000509000000000000" pitchFamily="65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32749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499999999999996"/>
          <c:y val="1.261519393409157E-2"/>
          <c:w val="0.1583333333333333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感應電動勢對角度的關係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4674759405074367"/>
          <c:y val="0.17685185185185184"/>
          <c:w val="0.78225240594925638"/>
          <c:h val="0.61426727909011369"/>
        </c:manualLayout>
      </c:layout>
      <c:scatterChart>
        <c:scatterStyle val="smoothMarker"/>
        <c:varyColors val="0"/>
        <c:ser>
          <c:idx val="1"/>
          <c:order val="0"/>
          <c:tx>
            <c:v>理論值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D!$C$8:$I$8</c:f>
              <c:numCache>
                <c:formatCode>0.000_ </c:formatCode>
                <c:ptCount val="7"/>
                <c:pt idx="0" formatCode="General">
                  <c:v>1</c:v>
                </c:pt>
                <c:pt idx="1">
                  <c:v>0.96592582628906831</c:v>
                </c:pt>
                <c:pt idx="2">
                  <c:v>0.86602540378443871</c:v>
                </c:pt>
                <c:pt idx="3">
                  <c:v>0.70710678118654757</c:v>
                </c:pt>
                <c:pt idx="4">
                  <c:v>0.50000000000000011</c:v>
                </c:pt>
                <c:pt idx="5">
                  <c:v>0.25881904510252074</c:v>
                </c:pt>
                <c:pt idx="6" formatCode="General">
                  <c:v>0</c:v>
                </c:pt>
              </c:numCache>
            </c:numRef>
          </c:xVal>
          <c:yVal>
            <c:numRef>
              <c:f>D!$C$10:$I$10</c:f>
              <c:numCache>
                <c:formatCode>0.00</c:formatCode>
                <c:ptCount val="7"/>
                <c:pt idx="0">
                  <c:v>17.259602781307994</c:v>
                </c:pt>
                <c:pt idx="1">
                  <c:v>16.671496077956025</c:v>
                </c:pt>
                <c:pt idx="2">
                  <c:v>14.947254467841276</c:v>
                </c:pt>
                <c:pt idx="3">
                  <c:v>12.204382167249079</c:v>
                </c:pt>
                <c:pt idx="4">
                  <c:v>8.6298013906539985</c:v>
                </c:pt>
                <c:pt idx="5">
                  <c:v>4.4671139107069457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30-4B0F-9853-FE73B5D1DE61}"/>
            </c:ext>
          </c:extLst>
        </c:ser>
        <c:ser>
          <c:idx val="0"/>
          <c:order val="1"/>
          <c:tx>
            <c:v>實驗值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D!$C$8:$I$8</c:f>
              <c:numCache>
                <c:formatCode>0.000_ </c:formatCode>
                <c:ptCount val="7"/>
                <c:pt idx="0" formatCode="General">
                  <c:v>1</c:v>
                </c:pt>
                <c:pt idx="1">
                  <c:v>0.96592582628906831</c:v>
                </c:pt>
                <c:pt idx="2">
                  <c:v>0.86602540378443871</c:v>
                </c:pt>
                <c:pt idx="3">
                  <c:v>0.70710678118654757</c:v>
                </c:pt>
                <c:pt idx="4">
                  <c:v>0.50000000000000011</c:v>
                </c:pt>
                <c:pt idx="5">
                  <c:v>0.25881904510252074</c:v>
                </c:pt>
                <c:pt idx="6" formatCode="General">
                  <c:v>0</c:v>
                </c:pt>
              </c:numCache>
            </c:numRef>
          </c:xVal>
          <c:yVal>
            <c:numRef>
              <c:f>D!$C$9:$I$9</c:f>
              <c:numCache>
                <c:formatCode>0.00</c:formatCode>
                <c:ptCount val="7"/>
                <c:pt idx="0">
                  <c:v>16.399999999999999</c:v>
                </c:pt>
                <c:pt idx="1">
                  <c:v>16</c:v>
                </c:pt>
                <c:pt idx="2">
                  <c:v>15.2</c:v>
                </c:pt>
                <c:pt idx="3">
                  <c:v>12.4</c:v>
                </c:pt>
                <c:pt idx="4">
                  <c:v>8.4</c:v>
                </c:pt>
                <c:pt idx="5">
                  <c:v>4.0999999999999996</c:v>
                </c:pt>
                <c:pt idx="6">
                  <c:v>0.68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30-4B0F-9853-FE73B5D1D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9824"/>
        <c:axId val="732750304"/>
      </c:scatterChart>
      <c:valAx>
        <c:axId val="732749824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baseline="0">
                    <a:latin typeface="標楷體" panose="03000509000000000000" pitchFamily="65" charset="-120"/>
                    <a:ea typeface="標楷體" panose="03000509000000000000" pitchFamily="65" charset="-120"/>
                  </a:rPr>
                  <a:t>cos</a:t>
                </a:r>
                <a:r>
                  <a:rPr lang="el-GR" altLang="zh-TW" sz="1000" b="0" i="0" u="none" strike="noStrike" baseline="0">
                    <a:latin typeface="標楷體" panose="03000509000000000000" pitchFamily="65" charset="-120"/>
                    <a:ea typeface="標楷體" panose="03000509000000000000" pitchFamily="65" charset="-120"/>
                  </a:rPr>
                  <a:t>Θ</a:t>
                </a:r>
                <a:endParaRPr lang="zh-TW" altLang="en-US">
                  <a:latin typeface="標楷體" panose="03000509000000000000" pitchFamily="65" charset="-120"/>
                  <a:ea typeface="標楷體" panose="03000509000000000000" pitchFamily="65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32750304"/>
        <c:crosses val="autoZero"/>
        <c:crossBetween val="midCat"/>
      </c:valAx>
      <c:valAx>
        <c:axId val="73275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000" b="0" i="0" u="none" strike="noStrike" baseline="0">
                    <a:latin typeface="標楷體" panose="03000509000000000000" pitchFamily="65" charset="-120"/>
                    <a:ea typeface="標楷體" panose="03000509000000000000" pitchFamily="65" charset="-120"/>
                  </a:rPr>
                  <a:t>感應電動勢</a:t>
                </a:r>
                <a:r>
                  <a:rPr lang="en-US" altLang="zh-TW" sz="1000" b="0" i="0" u="none" strike="noStrike" baseline="0">
                    <a:latin typeface="標楷體" panose="03000509000000000000" pitchFamily="65" charset="-120"/>
                    <a:ea typeface="標楷體" panose="03000509000000000000" pitchFamily="65" charset="-120"/>
                  </a:rPr>
                  <a:t>(mV)</a:t>
                </a:r>
                <a:endParaRPr lang="zh-TW" altLang="en-US">
                  <a:latin typeface="標楷體" panose="03000509000000000000" pitchFamily="65" charset="-120"/>
                  <a:ea typeface="標楷體" panose="03000509000000000000" pitchFamily="65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32749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499999999999996"/>
          <c:y val="1.261519393409157E-2"/>
          <c:w val="0.1583333333333333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44</xdr:row>
      <xdr:rowOff>60960</xdr:rowOff>
    </xdr:from>
    <xdr:to>
      <xdr:col>6</xdr:col>
      <xdr:colOff>741413</xdr:colOff>
      <xdr:row>58</xdr:row>
      <xdr:rowOff>33067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00"/>
          <a:ext cx="6288773" cy="2852467"/>
        </a:xfrm>
        <a:prstGeom prst="rect">
          <a:avLst/>
        </a:prstGeom>
      </xdr:spPr>
    </xdr:pic>
    <xdr:clientData/>
  </xdr:twoCellAnchor>
  <xdr:twoCellAnchor>
    <xdr:from>
      <xdr:col>9</xdr:col>
      <xdr:colOff>175260</xdr:colOff>
      <xdr:row>0</xdr:row>
      <xdr:rowOff>83820</xdr:rowOff>
    </xdr:from>
    <xdr:to>
      <xdr:col>16</xdr:col>
      <xdr:colOff>480060</xdr:colOff>
      <xdr:row>12</xdr:row>
      <xdr:rowOff>38100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175260</xdr:colOff>
      <xdr:row>12</xdr:row>
      <xdr:rowOff>45720</xdr:rowOff>
    </xdr:from>
    <xdr:to>
      <xdr:col>16</xdr:col>
      <xdr:colOff>480060</xdr:colOff>
      <xdr:row>24</xdr:row>
      <xdr:rowOff>106680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312420</xdr:colOff>
      <xdr:row>27</xdr:row>
      <xdr:rowOff>153712</xdr:rowOff>
    </xdr:from>
    <xdr:to>
      <xdr:col>18</xdr:col>
      <xdr:colOff>544285</xdr:colOff>
      <xdr:row>33</xdr:row>
      <xdr:rowOff>43993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31477" y="6129969"/>
          <a:ext cx="7721237" cy="11312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411481</xdr:colOff>
      <xdr:row>22</xdr:row>
      <xdr:rowOff>182880</xdr:rowOff>
    </xdr:from>
    <xdr:to>
      <xdr:col>6</xdr:col>
      <xdr:colOff>230355</xdr:colOff>
      <xdr:row>28</xdr:row>
      <xdr:rowOff>53664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1" y="5029200"/>
          <a:ext cx="5023334" cy="1105224"/>
        </a:xfrm>
        <a:prstGeom prst="rect">
          <a:avLst/>
        </a:prstGeom>
      </xdr:spPr>
    </xdr:pic>
    <xdr:clientData/>
  </xdr:twoCellAnchor>
  <xdr:twoCellAnchor>
    <xdr:from>
      <xdr:col>9</xdr:col>
      <xdr:colOff>137160</xdr:colOff>
      <xdr:row>0</xdr:row>
      <xdr:rowOff>91440</xdr:rowOff>
    </xdr:from>
    <xdr:to>
      <xdr:col>16</xdr:col>
      <xdr:colOff>441960</xdr:colOff>
      <xdr:row>12</xdr:row>
      <xdr:rowOff>45720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167640</xdr:rowOff>
    </xdr:from>
    <xdr:to>
      <xdr:col>9</xdr:col>
      <xdr:colOff>584001</xdr:colOff>
      <xdr:row>35</xdr:row>
      <xdr:rowOff>202369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79720"/>
          <a:ext cx="7784901" cy="2297869"/>
        </a:xfrm>
        <a:prstGeom prst="rect">
          <a:avLst/>
        </a:prstGeom>
      </xdr:spPr>
    </xdr:pic>
    <xdr:clientData/>
  </xdr:twoCellAnchor>
  <xdr:twoCellAnchor>
    <xdr:from>
      <xdr:col>10</xdr:col>
      <xdr:colOff>304800</xdr:colOff>
      <xdr:row>0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289560</xdr:colOff>
      <xdr:row>15</xdr:row>
      <xdr:rowOff>19882</xdr:rowOff>
    </xdr:from>
    <xdr:to>
      <xdr:col>8</xdr:col>
      <xdr:colOff>167640</xdr:colOff>
      <xdr:row>20</xdr:row>
      <xdr:rowOff>1311954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C7E24AF-04E8-4120-B555-87D65333F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8360" y="2622405"/>
          <a:ext cx="2929528" cy="2132617"/>
        </a:xfrm>
        <a:prstGeom prst="rect">
          <a:avLst/>
        </a:prstGeom>
      </xdr:spPr>
    </xdr:pic>
    <xdr:clientData/>
  </xdr:twoCellAnchor>
  <xdr:twoCellAnchor editAs="oneCell">
    <xdr:from>
      <xdr:col>3</xdr:col>
      <xdr:colOff>198120</xdr:colOff>
      <xdr:row>8</xdr:row>
      <xdr:rowOff>1089890</xdr:rowOff>
    </xdr:from>
    <xdr:to>
      <xdr:col>8</xdr:col>
      <xdr:colOff>258070</xdr:colOff>
      <xdr:row>14</xdr:row>
      <xdr:rowOff>1295399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15D38E30-929C-4B03-92CE-BFA00725A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6920" y="2784219"/>
          <a:ext cx="3107950" cy="2330145"/>
        </a:xfrm>
        <a:prstGeom prst="rect">
          <a:avLst/>
        </a:prstGeom>
      </xdr:spPr>
    </xdr:pic>
    <xdr:clientData/>
  </xdr:twoCellAnchor>
  <xdr:twoCellAnchor editAs="oneCell">
    <xdr:from>
      <xdr:col>3</xdr:col>
      <xdr:colOff>167639</xdr:colOff>
      <xdr:row>3</xdr:row>
      <xdr:rowOff>5177</xdr:rowOff>
    </xdr:from>
    <xdr:to>
      <xdr:col>8</xdr:col>
      <xdr:colOff>293272</xdr:colOff>
      <xdr:row>8</xdr:row>
      <xdr:rowOff>1089660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2A027172-7531-4F55-98CD-5760AD8DE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6439" y="668565"/>
          <a:ext cx="3173633" cy="2115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K10" sqref="K10"/>
    </sheetView>
  </sheetViews>
  <sheetFormatPr defaultRowHeight="16.2" x14ac:dyDescent="0.3"/>
  <cols>
    <col min="2" max="2" width="18.77734375" customWidth="1"/>
    <col min="3" max="3" width="12.5546875" customWidth="1"/>
    <col min="5" max="5" width="10.77734375" customWidth="1"/>
    <col min="7" max="7" width="13.44140625" customWidth="1"/>
  </cols>
  <sheetData>
    <row r="1" spans="1:7" ht="20.399999999999999" thickTop="1" x14ac:dyDescent="0.3">
      <c r="A1" s="26" t="s">
        <v>0</v>
      </c>
      <c r="B1" s="27"/>
      <c r="C1" s="1" t="s">
        <v>44</v>
      </c>
      <c r="D1" s="27" t="s">
        <v>1</v>
      </c>
      <c r="E1" s="27"/>
      <c r="F1" s="27" t="s">
        <v>42</v>
      </c>
      <c r="G1" s="30"/>
    </row>
    <row r="2" spans="1:7" ht="16.8" thickBot="1" x14ac:dyDescent="0.35">
      <c r="A2" s="31">
        <v>0.10299999999999999</v>
      </c>
      <c r="B2" s="32"/>
      <c r="C2" s="2">
        <v>200</v>
      </c>
      <c r="D2" s="33">
        <v>3000</v>
      </c>
      <c r="E2" s="33"/>
      <c r="F2" s="34">
        <f>4*PI()*10^-7</f>
        <v>1.2566370614359173E-6</v>
      </c>
      <c r="G2" s="35"/>
    </row>
    <row r="3" spans="1:7" ht="20.399999999999999" thickTop="1" x14ac:dyDescent="0.3">
      <c r="A3" s="26" t="s">
        <v>3</v>
      </c>
      <c r="B3" s="27"/>
      <c r="C3" s="27"/>
      <c r="D3" s="28" cm="1">
        <f t="array" aca="1" ref="D3" ca="1">17*PI()*0.000315^2*SUMPRODUCT(((0.01085/0.000315+ROW(INDIRECT(1&amp;":"&amp;24)))^2))</f>
        <v>0.2863790176072829</v>
      </c>
      <c r="E3" s="28"/>
      <c r="F3" s="28"/>
      <c r="G3" s="29"/>
    </row>
    <row r="4" spans="1:7" ht="20.399999999999999" thickBot="1" x14ac:dyDescent="0.35">
      <c r="A4" s="23" t="s">
        <v>4</v>
      </c>
      <c r="B4" s="24"/>
      <c r="C4" s="25"/>
      <c r="D4" s="20">
        <f t="array" aca="1" ref="D4" ca="1">34*PI()*0.00013*0.00013*SUMPRODUCT(((0.01085/0.00013+ROW(INDIRECT(1&amp;":"&amp;59)))^2))</f>
        <v>1.4019727327674971</v>
      </c>
      <c r="E4" s="21"/>
      <c r="F4" s="21"/>
      <c r="G4" s="22"/>
    </row>
    <row r="5" spans="1:7" ht="16.8" thickTop="1" x14ac:dyDescent="0.3"/>
  </sheetData>
  <mergeCells count="10">
    <mergeCell ref="D4:G4"/>
    <mergeCell ref="A4:C4"/>
    <mergeCell ref="A3:C3"/>
    <mergeCell ref="D3:G3"/>
    <mergeCell ref="A1:B1"/>
    <mergeCell ref="D1:E1"/>
    <mergeCell ref="F1:G1"/>
    <mergeCell ref="A2:B2"/>
    <mergeCell ref="D2:E2"/>
    <mergeCell ref="F2:G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tabSelected="1" zoomScaleNormal="100" workbookViewId="0">
      <selection activeCell="S27" sqref="S27"/>
    </sheetView>
  </sheetViews>
  <sheetFormatPr defaultRowHeight="16.2" x14ac:dyDescent="0.3"/>
  <cols>
    <col min="2" max="2" width="28.33203125" customWidth="1"/>
    <col min="3" max="3" width="16.5546875" bestFit="1" customWidth="1"/>
    <col min="4" max="4" width="9.33203125" bestFit="1" customWidth="1"/>
    <col min="7" max="7" width="11.44140625" customWidth="1"/>
  </cols>
  <sheetData>
    <row r="1" spans="1:9" ht="19.8" x14ac:dyDescent="0.3">
      <c r="A1" s="36" t="s">
        <v>5</v>
      </c>
      <c r="B1" s="36"/>
      <c r="C1" s="15" t="s">
        <v>44</v>
      </c>
      <c r="D1" s="36" t="s">
        <v>35</v>
      </c>
      <c r="E1" s="36"/>
      <c r="F1" s="36" t="s">
        <v>6</v>
      </c>
      <c r="G1" s="36"/>
      <c r="H1" s="36"/>
      <c r="I1" s="3"/>
    </row>
    <row r="2" spans="1:9" x14ac:dyDescent="0.3">
      <c r="A2" s="39">
        <v>0.10299999999999999</v>
      </c>
      <c r="B2" s="39"/>
      <c r="C2" s="19">
        <v>200</v>
      </c>
      <c r="D2" s="40">
        <v>3000</v>
      </c>
      <c r="E2" s="40"/>
      <c r="F2" s="41">
        <f>4*PI()*10^-7</f>
        <v>1.2566370614359173E-6</v>
      </c>
      <c r="G2" s="41"/>
      <c r="H2" s="41"/>
      <c r="I2" s="3"/>
    </row>
    <row r="3" spans="1:9" ht="19.8" x14ac:dyDescent="0.3">
      <c r="A3" s="36" t="s">
        <v>7</v>
      </c>
      <c r="B3" s="36"/>
      <c r="C3" s="36"/>
      <c r="D3" s="38">
        <f t="array" aca="1" ref="D3" ca="1">17*PI()*0.000315^2*SUMPRODUCT(((0.01085/0.000315+ROW(INDIRECT(1&amp;":"&amp;24)))^2))</f>
        <v>0.2863790176072829</v>
      </c>
      <c r="E3" s="38"/>
      <c r="F3" s="38"/>
      <c r="G3" s="38"/>
      <c r="H3" s="38"/>
      <c r="I3" s="3"/>
    </row>
    <row r="4" spans="1:9" ht="19.8" x14ac:dyDescent="0.3">
      <c r="A4" s="36" t="s">
        <v>8</v>
      </c>
      <c r="B4" s="36"/>
      <c r="C4" s="36"/>
      <c r="D4" s="38">
        <f t="array" aca="1" ref="D4" ca="1">34*PI()*0.00013*0.00013*SUMPRODUCT(((0.01085/0.00013+ROW(INDIRECT(1&amp;":"&amp;59)))^2))</f>
        <v>1.4019727327674971</v>
      </c>
      <c r="E4" s="38"/>
      <c r="F4" s="38"/>
      <c r="G4" s="38"/>
      <c r="H4" s="38"/>
      <c r="I4" s="3"/>
    </row>
    <row r="5" spans="1:9" x14ac:dyDescent="0.3">
      <c r="A5" s="37" t="s">
        <v>31</v>
      </c>
      <c r="B5" s="37"/>
      <c r="C5" s="37"/>
      <c r="D5" s="37"/>
      <c r="E5" s="37"/>
      <c r="F5" s="37"/>
      <c r="G5" s="37"/>
      <c r="H5" s="37"/>
      <c r="I5" s="3"/>
    </row>
    <row r="6" spans="1:9" ht="19.8" x14ac:dyDescent="0.3">
      <c r="A6" s="36" t="s">
        <v>9</v>
      </c>
      <c r="B6" s="36"/>
      <c r="C6" s="36" t="s">
        <v>10</v>
      </c>
      <c r="D6" s="36"/>
      <c r="E6" s="36" t="s">
        <v>33</v>
      </c>
      <c r="F6" s="36"/>
      <c r="G6" s="36"/>
      <c r="H6" s="15">
        <v>8</v>
      </c>
      <c r="I6" s="3"/>
    </row>
    <row r="7" spans="1:9" x14ac:dyDescent="0.3">
      <c r="A7" s="36" t="s">
        <v>39</v>
      </c>
      <c r="B7" s="36"/>
      <c r="C7" s="15">
        <v>1</v>
      </c>
      <c r="D7" s="15">
        <v>1.2</v>
      </c>
      <c r="E7" s="15">
        <v>1.4</v>
      </c>
      <c r="F7" s="15">
        <v>1.6</v>
      </c>
      <c r="G7" s="15">
        <v>1.8</v>
      </c>
      <c r="H7" s="15">
        <v>2</v>
      </c>
      <c r="I7" s="3"/>
    </row>
    <row r="8" spans="1:9" ht="19.8" x14ac:dyDescent="0.3">
      <c r="A8" s="36" t="s">
        <v>36</v>
      </c>
      <c r="B8" s="36"/>
      <c r="C8" s="5">
        <v>2</v>
      </c>
      <c r="D8" s="5">
        <v>2.2999999999999998</v>
      </c>
      <c r="E8" s="5">
        <v>2.8</v>
      </c>
      <c r="F8" s="5">
        <v>2.9</v>
      </c>
      <c r="G8" s="5">
        <v>3.3</v>
      </c>
      <c r="H8" s="5">
        <v>3.6</v>
      </c>
      <c r="I8" s="3"/>
    </row>
    <row r="9" spans="1:9" ht="19.8" x14ac:dyDescent="0.3">
      <c r="A9" s="36" t="s">
        <v>38</v>
      </c>
      <c r="B9" s="36"/>
      <c r="C9" s="7">
        <f ca="1" xml:space="preserve"> D3*C2*F2*C7*H6/D2/A2*1000*1000</f>
        <v>1.8634277651413376</v>
      </c>
      <c r="D9" s="7">
        <f ca="1" xml:space="preserve"> D3*C2*F2*D7*H6/D2/A2*1000*1000</f>
        <v>2.2361133181696053</v>
      </c>
      <c r="E9" s="7">
        <f ca="1" xml:space="preserve"> D3*C2*F2*E7*H6/D2/A2*1000*1000</f>
        <v>2.6087988711978722</v>
      </c>
      <c r="F9" s="7">
        <f ca="1" xml:space="preserve"> D3*C2*F2*F7*H6/D2/A2*1000*1000</f>
        <v>2.9814844242261405</v>
      </c>
      <c r="G9" s="7">
        <f ca="1" xml:space="preserve"> D3*C2*F2*G7*H6/D2/A2*1000*1000</f>
        <v>3.3541699772544078</v>
      </c>
      <c r="H9" s="7">
        <f ca="1" xml:space="preserve"> D3*C2*F2*H7*H6/D2/A2*1000*1000</f>
        <v>3.7268555302826751</v>
      </c>
      <c r="I9" s="3"/>
    </row>
    <row r="10" spans="1:9" x14ac:dyDescent="0.3">
      <c r="A10" s="36" t="s">
        <v>14</v>
      </c>
      <c r="B10" s="36"/>
      <c r="C10" s="7">
        <f ca="1" xml:space="preserve"> ABS((C8-C9)/C9)*100</f>
        <v>7.3290866119676865</v>
      </c>
      <c r="D10" s="7">
        <f t="shared" ref="D10:H10" ca="1" si="0" xml:space="preserve"> ABS((D8-D9)/D9)*100</f>
        <v>2.8570413364690124</v>
      </c>
      <c r="E10" s="7">
        <f t="shared" ca="1" si="0"/>
        <v>7.3290866119676945</v>
      </c>
      <c r="F10" s="7">
        <f t="shared" ca="1" si="0"/>
        <v>2.7330152579042988</v>
      </c>
      <c r="G10" s="7">
        <f t="shared" ca="1" si="0"/>
        <v>1.6150039390296314</v>
      </c>
      <c r="H10" s="7">
        <f t="shared" ca="1" si="0"/>
        <v>3.4038220492290798</v>
      </c>
      <c r="I10" s="3"/>
    </row>
    <row r="11" spans="1:9" x14ac:dyDescent="0.3">
      <c r="A11" s="37" t="s">
        <v>32</v>
      </c>
      <c r="B11" s="37"/>
      <c r="C11" s="37"/>
      <c r="D11" s="37"/>
      <c r="E11" s="37"/>
      <c r="F11" s="37"/>
      <c r="G11" s="37"/>
      <c r="H11" s="37"/>
      <c r="I11" s="3"/>
    </row>
    <row r="12" spans="1:9" ht="19.8" x14ac:dyDescent="0.3">
      <c r="A12" s="36" t="s">
        <v>15</v>
      </c>
      <c r="B12" s="36"/>
      <c r="C12" s="36" t="s">
        <v>16</v>
      </c>
      <c r="D12" s="36"/>
      <c r="E12" s="36" t="s">
        <v>34</v>
      </c>
      <c r="F12" s="36"/>
      <c r="G12" s="36"/>
      <c r="H12" s="15">
        <v>8</v>
      </c>
      <c r="I12" s="3"/>
    </row>
    <row r="13" spans="1:9" x14ac:dyDescent="0.3">
      <c r="A13" s="36" t="s">
        <v>37</v>
      </c>
      <c r="B13" s="36"/>
      <c r="C13" s="15">
        <v>1</v>
      </c>
      <c r="D13" s="15">
        <v>1.2</v>
      </c>
      <c r="E13" s="15">
        <v>1.4</v>
      </c>
      <c r="F13" s="15">
        <v>1.6</v>
      </c>
      <c r="G13" s="15">
        <v>1.8</v>
      </c>
      <c r="H13" s="15">
        <v>2</v>
      </c>
      <c r="I13" s="3"/>
    </row>
    <row r="14" spans="1:9" ht="19.8" x14ac:dyDescent="0.3">
      <c r="A14" s="36" t="s">
        <v>17</v>
      </c>
      <c r="B14" s="36"/>
      <c r="C14" s="5">
        <v>9.6</v>
      </c>
      <c r="D14" s="5">
        <v>10.8</v>
      </c>
      <c r="E14" s="5">
        <v>12.4</v>
      </c>
      <c r="F14" s="5">
        <v>14</v>
      </c>
      <c r="G14" s="5">
        <v>15.6</v>
      </c>
      <c r="H14" s="5">
        <v>17.600000000000001</v>
      </c>
      <c r="I14" s="3"/>
    </row>
    <row r="15" spans="1:9" ht="19.8" x14ac:dyDescent="0.3">
      <c r="A15" s="36" t="s">
        <v>18</v>
      </c>
      <c r="B15" s="36"/>
      <c r="C15" s="7">
        <f ca="1" xml:space="preserve"> D4*C2*F2*C13*H12/D2/A2*1000*1000</f>
        <v>9.1224382918743316</v>
      </c>
      <c r="D15" s="7">
        <f ca="1" xml:space="preserve"> D4*C2*F2*D13*H12/D2/A2*1000*1000</f>
        <v>10.946925950249197</v>
      </c>
      <c r="E15" s="7">
        <f ca="1" xml:space="preserve"> D4*C2*F2*E13*H12/D2/A2*1000*1000</f>
        <v>12.771413608624064</v>
      </c>
      <c r="F15" s="7">
        <f ca="1" xml:space="preserve"> D4*C2*F2*F13*H12/D2/A2*1000*1000</f>
        <v>14.595901266998931</v>
      </c>
      <c r="G15" s="7">
        <f ca="1" xml:space="preserve"> D4*C2*F2*G13*H12/D2/A2*1000*1000</f>
        <v>16.4203889253738</v>
      </c>
      <c r="H15" s="7">
        <f ca="1" xml:space="preserve"> D4*C2*F2*H13*H12/D2/A2*1000*1000</f>
        <v>18.244876583748663</v>
      </c>
      <c r="I15" s="3"/>
    </row>
    <row r="16" spans="1:9" x14ac:dyDescent="0.3">
      <c r="A16" s="36" t="s">
        <v>19</v>
      </c>
      <c r="B16" s="36"/>
      <c r="C16" s="7">
        <f ca="1" xml:space="preserve"> ABS((C14-C15)/C15)*100</f>
        <v>5.2350226205536368</v>
      </c>
      <c r="D16" s="7">
        <f t="shared" ref="D16:G16" ca="1" si="1" xml:space="preserve"> ABS((D14-D15)/D15)*100</f>
        <v>1.3421662932309464</v>
      </c>
      <c r="E16" s="7">
        <f t="shared" ca="1" si="1"/>
        <v>2.9081636536558619</v>
      </c>
      <c r="F16" s="7">
        <f t="shared" ca="1" si="1"/>
        <v>4.0826616739745489</v>
      </c>
      <c r="G16" s="7">
        <f t="shared" ca="1" si="1"/>
        <v>4.9961601342224267</v>
      </c>
      <c r="H16" s="7">
        <f ca="1" xml:space="preserve"> ABS((H14-H15)/H15)*100</f>
        <v>3.5345625978258224</v>
      </c>
      <c r="I16" s="3"/>
    </row>
    <row r="17" spans="1:9" x14ac:dyDescent="0.3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3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3">
      <c r="A19" s="3"/>
      <c r="B19" s="3"/>
      <c r="C19" s="3"/>
      <c r="D19" s="3"/>
      <c r="E19" s="3"/>
      <c r="F19" s="3"/>
      <c r="G19" s="3"/>
      <c r="H19" s="3"/>
      <c r="I19" s="3"/>
    </row>
  </sheetData>
  <mergeCells count="26">
    <mergeCell ref="A1:B1"/>
    <mergeCell ref="D1:E1"/>
    <mergeCell ref="A2:B2"/>
    <mergeCell ref="D2:E2"/>
    <mergeCell ref="F1:H1"/>
    <mergeCell ref="F2:H2"/>
    <mergeCell ref="A3:C3"/>
    <mergeCell ref="A4:C4"/>
    <mergeCell ref="A6:B6"/>
    <mergeCell ref="C6:D6"/>
    <mergeCell ref="E6:G6"/>
    <mergeCell ref="D3:H3"/>
    <mergeCell ref="D4:H4"/>
    <mergeCell ref="A5:H5"/>
    <mergeCell ref="A7:B7"/>
    <mergeCell ref="A8:B8"/>
    <mergeCell ref="A9:B9"/>
    <mergeCell ref="A10:B10"/>
    <mergeCell ref="A12:B12"/>
    <mergeCell ref="A11:H11"/>
    <mergeCell ref="E12:G12"/>
    <mergeCell ref="A13:B13"/>
    <mergeCell ref="A14:B14"/>
    <mergeCell ref="A15:B15"/>
    <mergeCell ref="A16:B16"/>
    <mergeCell ref="C12:D12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selection activeCell="Q27" sqref="Q27"/>
    </sheetView>
  </sheetViews>
  <sheetFormatPr defaultRowHeight="16.2" x14ac:dyDescent="0.3"/>
  <cols>
    <col min="2" max="2" width="28.33203125" customWidth="1"/>
    <col min="3" max="3" width="12" customWidth="1"/>
    <col min="7" max="7" width="11.44140625" customWidth="1"/>
  </cols>
  <sheetData>
    <row r="1" spans="1:9" ht="19.8" x14ac:dyDescent="0.3">
      <c r="A1" s="36" t="s">
        <v>0</v>
      </c>
      <c r="B1" s="36"/>
      <c r="C1" s="15" t="s">
        <v>44</v>
      </c>
      <c r="D1" s="36" t="s">
        <v>35</v>
      </c>
      <c r="E1" s="36"/>
      <c r="F1" s="36" t="s">
        <v>2</v>
      </c>
      <c r="G1" s="36"/>
      <c r="H1" s="36"/>
      <c r="I1" s="3"/>
    </row>
    <row r="2" spans="1:9" x14ac:dyDescent="0.3">
      <c r="A2" s="39">
        <v>0.10299999999999999</v>
      </c>
      <c r="B2" s="39"/>
      <c r="C2" s="19">
        <v>200</v>
      </c>
      <c r="D2" s="40">
        <v>3000</v>
      </c>
      <c r="E2" s="40"/>
      <c r="F2" s="41">
        <f>4*PI()*10^-7</f>
        <v>1.2566370614359173E-6</v>
      </c>
      <c r="G2" s="41"/>
      <c r="H2" s="41"/>
      <c r="I2" s="3"/>
    </row>
    <row r="3" spans="1:9" ht="19.8" x14ac:dyDescent="0.3">
      <c r="A3" s="44" t="s">
        <v>3</v>
      </c>
      <c r="B3" s="45"/>
      <c r="C3" s="46"/>
      <c r="D3" s="47">
        <f t="array" aca="1" ref="D3" ca="1">17*PI()*0.000315^2*SUMPRODUCT(((0.01085/0.000315+ROW(INDIRECT(1&amp;":"&amp;24)))^2))</f>
        <v>0.2863790176072829</v>
      </c>
      <c r="E3" s="48"/>
      <c r="F3" s="48"/>
      <c r="G3" s="48"/>
      <c r="H3" s="49"/>
      <c r="I3" s="3"/>
    </row>
    <row r="4" spans="1:9" ht="20.399999999999999" thickBot="1" x14ac:dyDescent="0.35">
      <c r="A4" s="44" t="s">
        <v>4</v>
      </c>
      <c r="B4" s="45"/>
      <c r="C4" s="46"/>
      <c r="D4" s="47">
        <f t="array" aca="1" ref="D4" ca="1">34*PI()*0.00013*0.00013*SUMPRODUCT(((0.01085/0.00013+ROW(INDIRECT(1&amp;":"&amp;59)))^2))</f>
        <v>1.4019727327674971</v>
      </c>
      <c r="E4" s="48"/>
      <c r="F4" s="48"/>
      <c r="G4" s="48"/>
      <c r="H4" s="49"/>
      <c r="I4" s="3"/>
    </row>
    <row r="5" spans="1:9" ht="16.8" thickTop="1" x14ac:dyDescent="0.3">
      <c r="A5" s="26" t="s">
        <v>9</v>
      </c>
      <c r="B5" s="27"/>
      <c r="C5" s="27"/>
      <c r="D5" s="27"/>
      <c r="E5" s="27" t="s">
        <v>16</v>
      </c>
      <c r="F5" s="27"/>
      <c r="G5" s="27"/>
      <c r="H5" s="30"/>
      <c r="I5" s="3"/>
    </row>
    <row r="6" spans="1:9" ht="20.399999999999999" thickBot="1" x14ac:dyDescent="0.35">
      <c r="A6" s="42" t="s">
        <v>20</v>
      </c>
      <c r="B6" s="43"/>
      <c r="C6" s="43"/>
      <c r="D6" s="14">
        <v>2000</v>
      </c>
      <c r="E6" s="43" t="s">
        <v>11</v>
      </c>
      <c r="F6" s="43"/>
      <c r="G6" s="43"/>
      <c r="H6" s="11">
        <v>8</v>
      </c>
      <c r="I6" s="3"/>
    </row>
    <row r="7" spans="1:9" ht="16.8" thickTop="1" x14ac:dyDescent="0.3">
      <c r="A7" s="50" t="s">
        <v>21</v>
      </c>
      <c r="B7" s="51"/>
      <c r="C7" s="16">
        <v>0</v>
      </c>
      <c r="D7" s="16">
        <v>2</v>
      </c>
      <c r="E7" s="16">
        <v>4</v>
      </c>
      <c r="F7" s="16">
        <v>6</v>
      </c>
      <c r="G7" s="16">
        <v>8</v>
      </c>
      <c r="H7" s="4">
        <v>10</v>
      </c>
      <c r="I7" s="3"/>
    </row>
    <row r="8" spans="1:9" ht="19.8" x14ac:dyDescent="0.3">
      <c r="A8" s="52" t="s">
        <v>12</v>
      </c>
      <c r="B8" s="36"/>
      <c r="C8" s="5">
        <v>17.600000000000001</v>
      </c>
      <c r="D8" s="5">
        <v>17.600000000000001</v>
      </c>
      <c r="E8" s="5">
        <v>14.8</v>
      </c>
      <c r="F8" s="5">
        <v>12</v>
      </c>
      <c r="G8" s="5">
        <v>8.8000000000000007</v>
      </c>
      <c r="H8" s="6">
        <v>6.8</v>
      </c>
      <c r="I8" s="3"/>
    </row>
    <row r="9" spans="1:9" ht="19.8" x14ac:dyDescent="0.3">
      <c r="A9" s="52" t="s">
        <v>13</v>
      </c>
      <c r="B9" s="36"/>
      <c r="C9" s="7">
        <f ca="1" xml:space="preserve"> D4*C2*F2*D6*H6*A2^2/(A2^2)^1.5/D2*1000</f>
        <v>18.244876583748674</v>
      </c>
      <c r="D9" s="7">
        <f ca="1" xml:space="preserve"> D4*C2*F2*D6*H6*A2^2/(A2^2+D7^2*10^-4)^1.5/D2*1000</f>
        <v>17.259602781307994</v>
      </c>
      <c r="E9" s="7">
        <f ca="1" xml:space="preserve"> D4*C2*F2*D6*H6*A2^2/(A2^2+E7^2*10^-4)^1.5/D2*1000</f>
        <v>14.778571717157632</v>
      </c>
      <c r="F9" s="7">
        <f ca="1" xml:space="preserve"> D4*C2*F2*D6*H6*A2^2/(A2^2+F7^2*10^-4)^1.5/D2*1000</f>
        <v>11.770836646484369</v>
      </c>
      <c r="G9" s="7">
        <f ca="1" xml:space="preserve"> D4*C2*F2*D6*H6*A2^2/(A2^2+G7^2*10^-4)^1.5/D2*1000</f>
        <v>8.9874074746002055</v>
      </c>
      <c r="H9" s="8">
        <f ca="1" xml:space="preserve"> D4*C2*F2*D6*H6*A2^2/(A2^2+H7^2*10^-4)^1.5/D2*1000</f>
        <v>6.7385619478713279</v>
      </c>
      <c r="I9" s="3"/>
    </row>
    <row r="10" spans="1:9" ht="16.8" thickBot="1" x14ac:dyDescent="0.35">
      <c r="A10" s="42" t="s">
        <v>14</v>
      </c>
      <c r="B10" s="43"/>
      <c r="C10" s="9">
        <f ca="1" xml:space="preserve"> ABS((C8-C9)/C9)*100</f>
        <v>3.5345625978258783</v>
      </c>
      <c r="D10" s="9">
        <f t="shared" ref="D10:F10" ca="1" si="0" xml:space="preserve"> ABS((D8-D9)/D9)*100</f>
        <v>1.9722193088977416</v>
      </c>
      <c r="E10" s="9">
        <f t="shared" ca="1" si="0"/>
        <v>0.14499562780813657</v>
      </c>
      <c r="F10" s="9">
        <f t="shared" ca="1" si="0"/>
        <v>1.9468739597543874</v>
      </c>
      <c r="G10" s="9">
        <f ca="1" xml:space="preserve"> ABS((G8-G9)/G9)*100</f>
        <v>2.0852228535297539</v>
      </c>
      <c r="H10" s="10">
        <f t="shared" ref="H10" ca="1" si="1" xml:space="preserve"> ABS((H8-H9)/H9)*100</f>
        <v>0.91173832939355637</v>
      </c>
      <c r="I10" s="3"/>
    </row>
    <row r="11" spans="1:9" ht="16.8" thickTop="1" x14ac:dyDescent="0.3"/>
  </sheetData>
  <mergeCells count="18">
    <mergeCell ref="A1:B1"/>
    <mergeCell ref="D1:E1"/>
    <mergeCell ref="F1:H1"/>
    <mergeCell ref="A2:B2"/>
    <mergeCell ref="D2:E2"/>
    <mergeCell ref="F2:H2"/>
    <mergeCell ref="A10:B10"/>
    <mergeCell ref="A5:D5"/>
    <mergeCell ref="E5:H5"/>
    <mergeCell ref="A3:C3"/>
    <mergeCell ref="D3:H3"/>
    <mergeCell ref="A4:C4"/>
    <mergeCell ref="D4:H4"/>
    <mergeCell ref="A6:C6"/>
    <mergeCell ref="E6:G6"/>
    <mergeCell ref="A7:B7"/>
    <mergeCell ref="A8:B8"/>
    <mergeCell ref="A9:B9"/>
  </mergeCells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zoomScaleNormal="100" workbookViewId="0">
      <selection activeCell="N18" sqref="N18"/>
    </sheetView>
  </sheetViews>
  <sheetFormatPr defaultRowHeight="16.2" x14ac:dyDescent="0.3"/>
  <cols>
    <col min="2" max="2" width="28.33203125" customWidth="1"/>
    <col min="3" max="3" width="11.88671875" customWidth="1"/>
    <col min="7" max="7" width="11.44140625" customWidth="1"/>
  </cols>
  <sheetData>
    <row r="1" spans="1:9" ht="19.8" x14ac:dyDescent="0.3">
      <c r="A1" s="36" t="s">
        <v>0</v>
      </c>
      <c r="B1" s="36"/>
      <c r="C1" s="15" t="s">
        <v>44</v>
      </c>
      <c r="D1" s="36" t="s">
        <v>35</v>
      </c>
      <c r="E1" s="36"/>
      <c r="F1" s="36" t="s">
        <v>2</v>
      </c>
      <c r="G1" s="36"/>
      <c r="H1" s="36"/>
      <c r="I1" s="36"/>
    </row>
    <row r="2" spans="1:9" x14ac:dyDescent="0.3">
      <c r="A2" s="36">
        <v>0.10299999999999999</v>
      </c>
      <c r="B2" s="36"/>
      <c r="C2" s="17">
        <v>200</v>
      </c>
      <c r="D2" s="56">
        <v>3000</v>
      </c>
      <c r="E2" s="56"/>
      <c r="F2" s="53">
        <f>4*PI()*10^-7</f>
        <v>1.2566370614359173E-6</v>
      </c>
      <c r="G2" s="53"/>
      <c r="H2" s="53"/>
      <c r="I2" s="53"/>
    </row>
    <row r="3" spans="1:9" ht="19.8" x14ac:dyDescent="0.3">
      <c r="A3" s="36" t="s">
        <v>3</v>
      </c>
      <c r="B3" s="36"/>
      <c r="C3" s="36"/>
      <c r="D3" s="54">
        <f t="array" aca="1" ref="D3" ca="1">17*PI()*0.000315^2*SUMPRODUCT(((0.01085/0.000315+ROW(INDIRECT(1&amp;":"&amp;24)))^2))</f>
        <v>0.2863790176072829</v>
      </c>
      <c r="E3" s="54"/>
      <c r="F3" s="54"/>
      <c r="G3" s="54"/>
      <c r="H3" s="54"/>
      <c r="I3" s="54"/>
    </row>
    <row r="4" spans="1:9" ht="19.8" x14ac:dyDescent="0.3">
      <c r="A4" s="36" t="s">
        <v>4</v>
      </c>
      <c r="B4" s="36"/>
      <c r="C4" s="36"/>
      <c r="D4" s="54">
        <f t="array" aca="1" ref="D4" ca="1">34*PI()*0.00013*0.00013*SUMPRODUCT(((0.01085/0.00013+ROW(INDIRECT(1&amp;":"&amp;59)))^2))</f>
        <v>1.4019727327674971</v>
      </c>
      <c r="E4" s="54"/>
      <c r="F4" s="54"/>
      <c r="G4" s="54"/>
      <c r="H4" s="54"/>
      <c r="I4" s="54"/>
    </row>
    <row r="5" spans="1:9" x14ac:dyDescent="0.3">
      <c r="A5" s="36" t="s">
        <v>9</v>
      </c>
      <c r="B5" s="36"/>
      <c r="C5" s="36"/>
      <c r="D5" s="36" t="s">
        <v>16</v>
      </c>
      <c r="E5" s="36"/>
      <c r="F5" s="36"/>
      <c r="G5" s="36" t="s">
        <v>22</v>
      </c>
      <c r="H5" s="36"/>
      <c r="I5" s="15">
        <v>2</v>
      </c>
    </row>
    <row r="6" spans="1:9" ht="19.8" x14ac:dyDescent="0.3">
      <c r="A6" s="36" t="s">
        <v>20</v>
      </c>
      <c r="B6" s="36"/>
      <c r="C6" s="36"/>
      <c r="D6" s="15">
        <v>2000</v>
      </c>
      <c r="E6" s="36" t="s">
        <v>11</v>
      </c>
      <c r="F6" s="36"/>
      <c r="G6" s="36"/>
      <c r="H6" s="36"/>
      <c r="I6" s="15">
        <v>8</v>
      </c>
    </row>
    <row r="7" spans="1:9" x14ac:dyDescent="0.3">
      <c r="A7" s="55" t="s">
        <v>40</v>
      </c>
      <c r="B7" s="37"/>
      <c r="C7" s="15">
        <v>0</v>
      </c>
      <c r="D7" s="15">
        <v>15</v>
      </c>
      <c r="E7" s="15">
        <v>30</v>
      </c>
      <c r="F7" s="15">
        <v>45</v>
      </c>
      <c r="G7" s="15">
        <v>60</v>
      </c>
      <c r="H7" s="15">
        <v>75</v>
      </c>
      <c r="I7" s="15">
        <v>90</v>
      </c>
    </row>
    <row r="8" spans="1:9" x14ac:dyDescent="0.3">
      <c r="A8" s="37" t="s">
        <v>41</v>
      </c>
      <c r="B8" s="37"/>
      <c r="C8" s="15">
        <f>COS(RADIANS(C7))</f>
        <v>1</v>
      </c>
      <c r="D8" s="12">
        <f>COS(RADIANS(D7))</f>
        <v>0.96592582628906831</v>
      </c>
      <c r="E8" s="12">
        <f t="shared" ref="E8:H8" si="0">COS(RADIANS(E7))</f>
        <v>0.86602540378443871</v>
      </c>
      <c r="F8" s="12">
        <f t="shared" si="0"/>
        <v>0.70710678118654757</v>
      </c>
      <c r="G8" s="12">
        <f t="shared" si="0"/>
        <v>0.50000000000000011</v>
      </c>
      <c r="H8" s="12">
        <f t="shared" si="0"/>
        <v>0.25881904510252074</v>
      </c>
      <c r="I8" s="15">
        <v>0</v>
      </c>
    </row>
    <row r="9" spans="1:9" ht="19.8" x14ac:dyDescent="0.3">
      <c r="A9" s="36" t="s">
        <v>43</v>
      </c>
      <c r="B9" s="36"/>
      <c r="C9" s="5">
        <v>16.399999999999999</v>
      </c>
      <c r="D9" s="5">
        <v>16</v>
      </c>
      <c r="E9" s="5">
        <v>15.2</v>
      </c>
      <c r="F9" s="5">
        <v>12.4</v>
      </c>
      <c r="G9" s="5">
        <v>8.4</v>
      </c>
      <c r="H9" s="5">
        <v>4.0999999999999996</v>
      </c>
      <c r="I9" s="5">
        <v>0.68</v>
      </c>
    </row>
    <row r="10" spans="1:9" ht="19.8" x14ac:dyDescent="0.3">
      <c r="A10" s="36" t="s">
        <v>13</v>
      </c>
      <c r="B10" s="36"/>
      <c r="C10" s="7">
        <f ca="1" xml:space="preserve"> D4*C2*F2*D6*I6*A2^2/(A2^2+I5^2*10^-4)^1.5/D2*1000*C8</f>
        <v>17.259602781307994</v>
      </c>
      <c r="D10" s="7">
        <f ca="1" xml:space="preserve"> D4*C2*F2*D6*I6*A2^2/(A2^2+I5^2*10^-4)^1.5/D2*1000*D8</f>
        <v>16.671496077956025</v>
      </c>
      <c r="E10" s="7">
        <f ca="1" xml:space="preserve"> D4*C2*F2*D6*I6*A2^2/(A2^2+I5^2*10^-4)^1.5/D2*1000*E8</f>
        <v>14.947254467841276</v>
      </c>
      <c r="F10" s="7">
        <f ca="1" xml:space="preserve"> D4*C2*F2*D6*I6*A2^2/(A2^2+I5^2*10^-4)^1.5/D2*1000*F8</f>
        <v>12.204382167249079</v>
      </c>
      <c r="G10" s="7">
        <f ca="1" xml:space="preserve"> D4*C2*F2*D6*I6*A2^2/(A2^2+I5^2*10^-4)^1.5/D2*1000*G8</f>
        <v>8.6298013906539985</v>
      </c>
      <c r="H10" s="7">
        <f ca="1" xml:space="preserve"> D4*C2*F2*D6*I6*A2^2/(A2^2+I5^2*10^-4)^1.5/D2*1000*H8</f>
        <v>4.4671139107069457</v>
      </c>
      <c r="I10" s="7">
        <f ca="1" xml:space="preserve"> D4*C2*F2*D6*I6*A2^2/(A2^2+I5^2*10^-4)^1.5/D2*1000*I8</f>
        <v>0</v>
      </c>
    </row>
    <row r="11" spans="1:9" x14ac:dyDescent="0.3">
      <c r="A11" s="36" t="s">
        <v>14</v>
      </c>
      <c r="B11" s="36"/>
      <c r="C11" s="7">
        <f ca="1" xml:space="preserve"> ABS((C9-C10)/C10)*100</f>
        <v>4.9804320076180293</v>
      </c>
      <c r="D11" s="7">
        <f t="shared" ref="D11:F11" ca="1" si="1" xml:space="preserve"> ABS((D9-D10)/D10)*100</f>
        <v>4.0278093508591253</v>
      </c>
      <c r="E11" s="7">
        <f t="shared" ca="1" si="1"/>
        <v>1.6909160990234051</v>
      </c>
      <c r="F11" s="7">
        <f t="shared" ca="1" si="1"/>
        <v>1.6028491247665848</v>
      </c>
      <c r="G11" s="7">
        <f ca="1" xml:space="preserve"> ABS((G9-G10)/G10)*100</f>
        <v>2.6628815687794525</v>
      </c>
      <c r="H11" s="7">
        <f t="shared" ref="H11" ca="1" si="2" xml:space="preserve"> ABS((H9-H10)/H10)*100</f>
        <v>8.2181452733281279</v>
      </c>
      <c r="I11" s="18"/>
    </row>
  </sheetData>
  <mergeCells count="20">
    <mergeCell ref="D2:E2"/>
    <mergeCell ref="A8:B8"/>
    <mergeCell ref="A9:B9"/>
    <mergeCell ref="A10:B10"/>
    <mergeCell ref="A11:B11"/>
    <mergeCell ref="F1:I1"/>
    <mergeCell ref="F2:I2"/>
    <mergeCell ref="D3:I3"/>
    <mergeCell ref="D4:I4"/>
    <mergeCell ref="A5:C5"/>
    <mergeCell ref="D5:F5"/>
    <mergeCell ref="G5:H5"/>
    <mergeCell ref="A6:C6"/>
    <mergeCell ref="E6:H6"/>
    <mergeCell ref="A7:B7"/>
    <mergeCell ref="A3:C3"/>
    <mergeCell ref="A4:C4"/>
    <mergeCell ref="A1:B1"/>
    <mergeCell ref="D1:E1"/>
    <mergeCell ref="A2:B2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"/>
  <sheetViews>
    <sheetView topLeftCell="A2" zoomScale="160" zoomScaleNormal="160" workbookViewId="0">
      <selection activeCell="N9" sqref="N9"/>
    </sheetView>
  </sheetViews>
  <sheetFormatPr defaultRowHeight="16.2" x14ac:dyDescent="0.3"/>
  <cols>
    <col min="6" max="8" width="8.88671875" customWidth="1"/>
    <col min="9" max="9" width="20.6640625" customWidth="1"/>
  </cols>
  <sheetData>
    <row r="1" spans="1:9" x14ac:dyDescent="0.3">
      <c r="A1" s="36" t="s">
        <v>23</v>
      </c>
      <c r="B1" s="36"/>
      <c r="C1" s="36"/>
      <c r="D1" s="36"/>
      <c r="E1" s="36" t="s">
        <v>24</v>
      </c>
      <c r="F1" s="36"/>
      <c r="G1" s="36"/>
      <c r="H1" s="36"/>
      <c r="I1" s="13">
        <v>0</v>
      </c>
    </row>
    <row r="2" spans="1:9" ht="19.8" x14ac:dyDescent="0.3">
      <c r="A2" s="36" t="s">
        <v>25</v>
      </c>
      <c r="B2" s="36"/>
      <c r="C2" s="36"/>
      <c r="D2" s="13">
        <v>2000</v>
      </c>
      <c r="E2" s="36" t="s">
        <v>26</v>
      </c>
      <c r="F2" s="36"/>
      <c r="G2" s="36"/>
      <c r="H2" s="36"/>
      <c r="I2" s="13">
        <v>8</v>
      </c>
    </row>
    <row r="3" spans="1:9" x14ac:dyDescent="0.3">
      <c r="A3" s="13" t="s">
        <v>27</v>
      </c>
      <c r="B3" s="44" t="s">
        <v>45</v>
      </c>
      <c r="C3" s="45"/>
      <c r="D3" s="45"/>
      <c r="E3" s="45"/>
      <c r="F3" s="45"/>
      <c r="G3" s="45"/>
      <c r="H3" s="45"/>
      <c r="I3" s="46"/>
    </row>
    <row r="4" spans="1:9" x14ac:dyDescent="0.3">
      <c r="A4" s="36" t="s">
        <v>28</v>
      </c>
      <c r="B4" s="57"/>
      <c r="C4" s="58"/>
      <c r="D4" s="58"/>
      <c r="E4" s="58"/>
      <c r="F4" s="58"/>
      <c r="G4" s="58"/>
      <c r="H4" s="58"/>
      <c r="I4" s="59"/>
    </row>
    <row r="5" spans="1:9" x14ac:dyDescent="0.3">
      <c r="A5" s="36"/>
      <c r="B5" s="60"/>
      <c r="C5" s="61"/>
      <c r="D5" s="61"/>
      <c r="E5" s="61"/>
      <c r="F5" s="61"/>
      <c r="G5" s="61"/>
      <c r="H5" s="61"/>
      <c r="I5" s="62"/>
    </row>
    <row r="6" spans="1:9" x14ac:dyDescent="0.3">
      <c r="A6" s="36"/>
      <c r="B6" s="60"/>
      <c r="C6" s="61"/>
      <c r="D6" s="61"/>
      <c r="E6" s="61"/>
      <c r="F6" s="61"/>
      <c r="G6" s="61"/>
      <c r="H6" s="61"/>
      <c r="I6" s="62"/>
    </row>
    <row r="7" spans="1:9" x14ac:dyDescent="0.3">
      <c r="A7" s="36"/>
      <c r="B7" s="60"/>
      <c r="C7" s="61"/>
      <c r="D7" s="61"/>
      <c r="E7" s="61"/>
      <c r="F7" s="61"/>
      <c r="G7" s="61"/>
      <c r="H7" s="61"/>
      <c r="I7" s="62"/>
    </row>
    <row r="8" spans="1:9" x14ac:dyDescent="0.3">
      <c r="A8" s="36"/>
      <c r="B8" s="60"/>
      <c r="C8" s="61"/>
      <c r="D8" s="61"/>
      <c r="E8" s="61"/>
      <c r="F8" s="61"/>
      <c r="G8" s="61"/>
      <c r="H8" s="61"/>
      <c r="I8" s="62"/>
    </row>
    <row r="9" spans="1:9" ht="86.4" customHeight="1" x14ac:dyDescent="0.3">
      <c r="A9" s="36"/>
      <c r="B9" s="63"/>
      <c r="C9" s="64"/>
      <c r="D9" s="64"/>
      <c r="E9" s="64"/>
      <c r="F9" s="64"/>
      <c r="G9" s="64"/>
      <c r="H9" s="64"/>
      <c r="I9" s="65"/>
    </row>
    <row r="10" spans="1:9" x14ac:dyDescent="0.3">
      <c r="A10" s="36" t="s">
        <v>29</v>
      </c>
      <c r="B10" s="57"/>
      <c r="C10" s="58"/>
      <c r="D10" s="58"/>
      <c r="E10" s="58"/>
      <c r="F10" s="58"/>
      <c r="G10" s="58"/>
      <c r="H10" s="58"/>
      <c r="I10" s="59"/>
    </row>
    <row r="11" spans="1:9" x14ac:dyDescent="0.3">
      <c r="A11" s="36"/>
      <c r="B11" s="60"/>
      <c r="C11" s="61"/>
      <c r="D11" s="61"/>
      <c r="E11" s="61"/>
      <c r="F11" s="61"/>
      <c r="G11" s="61"/>
      <c r="H11" s="61"/>
      <c r="I11" s="62"/>
    </row>
    <row r="12" spans="1:9" x14ac:dyDescent="0.3">
      <c r="A12" s="36"/>
      <c r="B12" s="60"/>
      <c r="C12" s="61"/>
      <c r="D12" s="61"/>
      <c r="E12" s="61"/>
      <c r="F12" s="61"/>
      <c r="G12" s="61"/>
      <c r="H12" s="61"/>
      <c r="I12" s="62"/>
    </row>
    <row r="13" spans="1:9" x14ac:dyDescent="0.3">
      <c r="A13" s="36"/>
      <c r="B13" s="60"/>
      <c r="C13" s="61"/>
      <c r="D13" s="61"/>
      <c r="E13" s="61"/>
      <c r="F13" s="61"/>
      <c r="G13" s="61"/>
      <c r="H13" s="61"/>
      <c r="I13" s="62"/>
    </row>
    <row r="14" spans="1:9" x14ac:dyDescent="0.3">
      <c r="A14" s="36"/>
      <c r="B14" s="60"/>
      <c r="C14" s="61"/>
      <c r="D14" s="61"/>
      <c r="E14" s="61"/>
      <c r="F14" s="61"/>
      <c r="G14" s="61"/>
      <c r="H14" s="61"/>
      <c r="I14" s="62"/>
    </row>
    <row r="15" spans="1:9" ht="106.8" customHeight="1" x14ac:dyDescent="0.3">
      <c r="A15" s="36"/>
      <c r="B15" s="63"/>
      <c r="C15" s="64"/>
      <c r="D15" s="64"/>
      <c r="E15" s="64"/>
      <c r="F15" s="64"/>
      <c r="G15" s="64"/>
      <c r="H15" s="64"/>
      <c r="I15" s="65"/>
    </row>
    <row r="16" spans="1:9" x14ac:dyDescent="0.3">
      <c r="A16" s="36" t="s">
        <v>30</v>
      </c>
      <c r="B16" s="57"/>
      <c r="C16" s="58"/>
      <c r="D16" s="58"/>
      <c r="E16" s="58"/>
      <c r="F16" s="58"/>
      <c r="G16" s="58"/>
      <c r="H16" s="58"/>
      <c r="I16" s="59"/>
    </row>
    <row r="17" spans="1:9" x14ac:dyDescent="0.3">
      <c r="A17" s="36"/>
      <c r="B17" s="60"/>
      <c r="C17" s="61"/>
      <c r="D17" s="61"/>
      <c r="E17" s="61"/>
      <c r="F17" s="61"/>
      <c r="G17" s="61"/>
      <c r="H17" s="61"/>
      <c r="I17" s="62"/>
    </row>
    <row r="18" spans="1:9" x14ac:dyDescent="0.3">
      <c r="A18" s="36"/>
      <c r="B18" s="60"/>
      <c r="C18" s="61"/>
      <c r="D18" s="61"/>
      <c r="E18" s="61"/>
      <c r="F18" s="61"/>
      <c r="G18" s="61"/>
      <c r="H18" s="61"/>
      <c r="I18" s="62"/>
    </row>
    <row r="19" spans="1:9" x14ac:dyDescent="0.3">
      <c r="A19" s="36"/>
      <c r="B19" s="60"/>
      <c r="C19" s="61"/>
      <c r="D19" s="61"/>
      <c r="E19" s="61"/>
      <c r="F19" s="61"/>
      <c r="G19" s="61"/>
      <c r="H19" s="61"/>
      <c r="I19" s="62"/>
    </row>
    <row r="20" spans="1:9" ht="1.8" customHeight="1" x14ac:dyDescent="0.3">
      <c r="A20" s="36"/>
      <c r="B20" s="60"/>
      <c r="C20" s="61"/>
      <c r="D20" s="61"/>
      <c r="E20" s="61"/>
      <c r="F20" s="61"/>
      <c r="G20" s="61"/>
      <c r="H20" s="61"/>
      <c r="I20" s="62"/>
    </row>
    <row r="21" spans="1:9" ht="106.2" customHeight="1" x14ac:dyDescent="0.3">
      <c r="A21" s="36"/>
      <c r="B21" s="63"/>
      <c r="C21" s="64"/>
      <c r="D21" s="64"/>
      <c r="E21" s="64"/>
      <c r="F21" s="64"/>
      <c r="G21" s="64"/>
      <c r="H21" s="64"/>
      <c r="I21" s="65"/>
    </row>
  </sheetData>
  <mergeCells count="11">
    <mergeCell ref="A1:D1"/>
    <mergeCell ref="E1:H1"/>
    <mergeCell ref="A2:C2"/>
    <mergeCell ref="E2:H2"/>
    <mergeCell ref="B3:I3"/>
    <mergeCell ref="A4:A9"/>
    <mergeCell ref="A10:A15"/>
    <mergeCell ref="A16:A21"/>
    <mergeCell ref="B4:I9"/>
    <mergeCell ref="B10:I15"/>
    <mergeCell ref="B16:I21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</vt:lpstr>
      <vt:lpstr>B</vt:lpstr>
      <vt:lpstr>C</vt:lpstr>
      <vt:lpstr>D</vt:lpstr>
      <vt:lpstr>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2025-03-19T05:19:05Z</dcterms:created>
  <dcterms:modified xsi:type="dcterms:W3CDTF">2026-03-30T01:41:00Z</dcterms:modified>
</cp:coreProperties>
</file>