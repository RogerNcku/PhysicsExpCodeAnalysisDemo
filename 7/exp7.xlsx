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大一下\普物實驗\實驗七\"/>
    </mc:Choice>
  </mc:AlternateContent>
  <xr:revisionPtr revIDLastSave="0" documentId="13_ncr:1_{BE954174-BBF9-4DCE-9BDC-73CBF749F7AB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磁場(B)" sheetId="1" r:id="rId1"/>
    <sheet name="紅色型" sheetId="2" r:id="rId2"/>
    <sheet name="黑色型" sheetId="3" r:id="rId3"/>
    <sheet name="載體濃度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1" l="1"/>
  <c r="C3" i="4" l="1"/>
  <c r="C8" i="4"/>
  <c r="H11" i="3"/>
  <c r="E11" i="4" s="1"/>
  <c r="H10" i="3"/>
  <c r="D11" i="4" s="1"/>
  <c r="H9" i="3"/>
  <c r="E10" i="4" s="1"/>
  <c r="H8" i="3"/>
  <c r="D10" i="4" s="1"/>
  <c r="H7" i="3"/>
  <c r="E9" i="4" s="1"/>
  <c r="H6" i="3"/>
  <c r="D9" i="4" s="1"/>
  <c r="H5" i="3"/>
  <c r="E8" i="4" s="1"/>
  <c r="H4" i="3"/>
  <c r="D8" i="4" s="1"/>
  <c r="H3" i="3"/>
  <c r="E7" i="4" s="1"/>
  <c r="H2" i="3"/>
  <c r="D7" i="4" s="1"/>
  <c r="H11" i="2"/>
  <c r="E6" i="4" s="1"/>
  <c r="H10" i="2"/>
  <c r="D6" i="4" s="1"/>
  <c r="H9" i="2"/>
  <c r="E5" i="4" s="1"/>
  <c r="H8" i="2"/>
  <c r="H7" i="2"/>
  <c r="E4" i="4" s="1"/>
  <c r="H6" i="2"/>
  <c r="H5" i="2"/>
  <c r="E3" i="4" s="1"/>
  <c r="H4" i="2"/>
  <c r="D3" i="4" s="1"/>
  <c r="H3" i="2"/>
  <c r="E2" i="4" s="1"/>
  <c r="H2" i="2"/>
  <c r="D2" i="4" s="1"/>
  <c r="G5" i="1"/>
  <c r="G6" i="1"/>
  <c r="G7" i="1"/>
  <c r="G3" i="1"/>
  <c r="C10" i="4" l="1"/>
  <c r="F10" i="4" s="1"/>
  <c r="C5" i="4"/>
  <c r="D4" i="4"/>
  <c r="D5" i="4"/>
  <c r="F8" i="4"/>
  <c r="C11" i="4"/>
  <c r="F11" i="4" s="1"/>
  <c r="C6" i="4"/>
  <c r="F6" i="4" s="1"/>
  <c r="F3" i="4"/>
  <c r="C7" i="4"/>
  <c r="F7" i="4" s="1"/>
  <c r="C2" i="4"/>
  <c r="F2" i="4" s="1"/>
  <c r="C4" i="4"/>
  <c r="F4" i="4" s="1"/>
  <c r="C9" i="4"/>
  <c r="F9" i="4" s="1"/>
  <c r="F5" i="4" l="1"/>
</calcChain>
</file>

<file path=xl/sharedStrings.xml><?xml version="1.0" encoding="utf-8"?>
<sst xmlns="http://schemas.openxmlformats.org/spreadsheetml/2006/main" count="52" uniqueCount="34">
  <si>
    <t>d(cm)</t>
    <phoneticPr fontId="2" type="noConversion"/>
  </si>
  <si>
    <t>第1次</t>
    <phoneticPr fontId="2" type="noConversion"/>
  </si>
  <si>
    <t>第2次</t>
    <phoneticPr fontId="2" type="noConversion"/>
  </si>
  <si>
    <t>第3次</t>
    <phoneticPr fontId="2" type="noConversion"/>
  </si>
  <si>
    <t>第4次</t>
    <phoneticPr fontId="2" type="noConversion"/>
  </si>
  <si>
    <t>第5次</t>
    <phoneticPr fontId="2" type="noConversion"/>
  </si>
  <si>
    <t>平均值</t>
    <phoneticPr fontId="2" type="noConversion"/>
  </si>
  <si>
    <t>測量值</t>
    <phoneticPr fontId="2" type="noConversion"/>
  </si>
  <si>
    <t>第1次</t>
    <phoneticPr fontId="2" type="noConversion"/>
  </si>
  <si>
    <t>第2次</t>
    <phoneticPr fontId="2" type="noConversion"/>
  </si>
  <si>
    <t>第5次</t>
    <phoneticPr fontId="2" type="noConversion"/>
  </si>
  <si>
    <t>平均值</t>
    <phoneticPr fontId="2" type="noConversion"/>
  </si>
  <si>
    <t>I(mA)</t>
    <phoneticPr fontId="2" type="noConversion"/>
  </si>
  <si>
    <t>V(mV)</t>
    <phoneticPr fontId="2" type="noConversion"/>
  </si>
  <si>
    <t>V(mV)</t>
    <phoneticPr fontId="2" type="noConversion"/>
  </si>
  <si>
    <t>d(cm)</t>
    <phoneticPr fontId="2" type="noConversion"/>
  </si>
  <si>
    <t>第3次</t>
    <phoneticPr fontId="2" type="noConversion"/>
  </si>
  <si>
    <t>第4次</t>
    <phoneticPr fontId="2" type="noConversion"/>
  </si>
  <si>
    <t>平均值</t>
    <phoneticPr fontId="2" type="noConversion"/>
  </si>
  <si>
    <t>I(mA)</t>
    <phoneticPr fontId="2" type="noConversion"/>
  </si>
  <si>
    <t>I(mA)</t>
    <phoneticPr fontId="2" type="noConversion"/>
  </si>
  <si>
    <t>V(mV)</t>
    <phoneticPr fontId="2" type="noConversion"/>
  </si>
  <si>
    <t>d(cm)</t>
    <phoneticPr fontId="2" type="noConversion"/>
  </si>
  <si>
    <t>I(mA)</t>
    <phoneticPr fontId="2" type="noConversion"/>
  </si>
  <si>
    <t>V(mV)</t>
    <phoneticPr fontId="2" type="noConversion"/>
  </si>
  <si>
    <t>紅色型</t>
    <phoneticPr fontId="2" type="noConversion"/>
  </si>
  <si>
    <t>晶片類型</t>
    <phoneticPr fontId="2" type="noConversion"/>
  </si>
  <si>
    <t>d(cm)</t>
    <phoneticPr fontId="2" type="noConversion"/>
  </si>
  <si>
    <t>I(mA)</t>
    <phoneticPr fontId="2" type="noConversion"/>
  </si>
  <si>
    <t>V(mV)</t>
    <phoneticPr fontId="2" type="noConversion"/>
  </si>
  <si>
    <t>黑色型</t>
    <phoneticPr fontId="2" type="noConversion"/>
  </si>
  <si>
    <r>
      <t>載體濃度n(m</t>
    </r>
    <r>
      <rPr>
        <vertAlign val="superscript"/>
        <sz val="12"/>
        <color theme="1"/>
        <rFont val="標楷體"/>
        <family val="4"/>
        <charset val="136"/>
      </rPr>
      <t>-3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</si>
  <si>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磁場(B)大小 (單位: T，特斯拉(tesla) ; 1 T = 10^4 gauss 高斯)</t>
    <phoneticPr fontId="2" type="noConversion"/>
  </si>
  <si>
    <t>B(T)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</si>
</sst>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00E+00"/>
    <numFmt numFmtId="178" formatCode="0.000_ "/>
    <numFmt numFmtId="179" formatCode="0.00_ "/>
  </numFmts>
  <fonts count="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0"/>
      <color theme="1"/>
      <name val="標楷體"/>
      <family val="4"/>
      <charset val="136"/>
    </font>
    <font>
      <sz val="12"/>
      <color theme="1"/>
      <name val="Times New Roman"/>
      <family val="1"/>
    </font>
    <font>
      <vertAlign val="superscript"/>
      <sz val="12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2" fontId="1" fillId="0" borderId="19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76" fontId="1" fillId="0" borderId="22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2" fontId="1" fillId="0" borderId="25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76" fontId="1" fillId="0" borderId="2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76" fontId="1" fillId="0" borderId="9" xfId="0" applyNumberFormat="1" applyFont="1" applyBorder="1" applyAlignment="1">
      <alignment horizontal="center" vertical="center"/>
    </xf>
    <xf numFmtId="2" fontId="1" fillId="0" borderId="22" xfId="0" applyNumberFormat="1" applyFont="1" applyBorder="1" applyAlignment="1">
      <alignment horizontal="center" vertical="center"/>
    </xf>
    <xf numFmtId="2" fontId="1" fillId="0" borderId="28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 wrapText="1"/>
    </xf>
    <xf numFmtId="2" fontId="4" fillId="0" borderId="11" xfId="0" applyNumberFormat="1" applyFont="1" applyBorder="1" applyAlignment="1">
      <alignment horizontal="center" vertical="center" wrapText="1"/>
    </xf>
    <xf numFmtId="2" fontId="4" fillId="0" borderId="13" xfId="0" applyNumberFormat="1" applyFont="1" applyBorder="1" applyAlignment="1">
      <alignment horizontal="center" vertical="center" wrapText="1"/>
    </xf>
    <xf numFmtId="2" fontId="4" fillId="2" borderId="10" xfId="0" applyNumberFormat="1" applyFont="1" applyFill="1" applyBorder="1" applyAlignment="1">
      <alignment horizontal="center" vertical="center" wrapText="1"/>
    </xf>
    <xf numFmtId="2" fontId="4" fillId="2" borderId="11" xfId="0" applyNumberFormat="1" applyFont="1" applyFill="1" applyBorder="1" applyAlignment="1">
      <alignment horizontal="center" vertical="center" wrapText="1"/>
    </xf>
    <xf numFmtId="2" fontId="4" fillId="2" borderId="12" xfId="0" applyNumberFormat="1" applyFont="1" applyFill="1" applyBorder="1" applyAlignment="1">
      <alignment horizontal="center" vertical="center" wrapText="1"/>
    </xf>
    <xf numFmtId="2" fontId="4" fillId="2" borderId="13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6" fontId="1" fillId="0" borderId="17" xfId="0" applyNumberFormat="1" applyFont="1" applyBorder="1" applyAlignment="1">
      <alignment horizontal="center" vertical="center"/>
    </xf>
    <xf numFmtId="176" fontId="1" fillId="0" borderId="20" xfId="0" applyNumberFormat="1" applyFont="1" applyBorder="1" applyAlignment="1">
      <alignment horizontal="center" vertical="center"/>
    </xf>
    <xf numFmtId="176" fontId="1" fillId="0" borderId="23" xfId="0" applyNumberFormat="1" applyFont="1" applyBorder="1" applyAlignment="1">
      <alignment horizontal="center" vertical="center"/>
    </xf>
    <xf numFmtId="176" fontId="1" fillId="0" borderId="26" xfId="0" applyNumberFormat="1" applyFont="1" applyBorder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77" fontId="1" fillId="0" borderId="4" xfId="0" applyNumberFormat="1" applyFont="1" applyBorder="1" applyAlignment="1">
      <alignment horizontal="center" vertical="center"/>
    </xf>
    <xf numFmtId="177" fontId="1" fillId="0" borderId="6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8" fontId="1" fillId="2" borderId="5" xfId="0" applyNumberFormat="1" applyFont="1" applyFill="1" applyBorder="1" applyAlignment="1">
      <alignment horizontal="center" vertical="center"/>
    </xf>
    <xf numFmtId="178" fontId="1" fillId="2" borderId="8" xfId="0" applyNumberFormat="1" applyFont="1" applyFill="1" applyBorder="1" applyAlignment="1">
      <alignment horizontal="center" vertical="center"/>
    </xf>
    <xf numFmtId="178" fontId="1" fillId="0" borderId="6" xfId="0" applyNumberFormat="1" applyFont="1" applyBorder="1" applyAlignment="1">
      <alignment horizontal="center" vertical="center"/>
    </xf>
    <xf numFmtId="179" fontId="4" fillId="2" borderId="10" xfId="0" applyNumberFormat="1" applyFont="1" applyFill="1" applyBorder="1" applyAlignment="1">
      <alignment horizontal="center" vertical="center" wrapText="1"/>
    </xf>
    <xf numFmtId="179" fontId="4" fillId="2" borderId="11" xfId="0" applyNumberFormat="1" applyFont="1" applyFill="1" applyBorder="1" applyAlignment="1">
      <alignment horizontal="center" vertical="center" wrapText="1"/>
    </xf>
    <xf numFmtId="179" fontId="4" fillId="2" borderId="12" xfId="0" applyNumberFormat="1" applyFont="1" applyFill="1" applyBorder="1" applyAlignment="1">
      <alignment horizontal="center" vertical="center" wrapText="1"/>
    </xf>
    <xf numFmtId="179" fontId="4" fillId="2" borderId="13" xfId="0" applyNumberFormat="1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6571657938950277"/>
          <c:y val="0.17735634926405702"/>
          <c:w val="0.77556011013080228"/>
          <c:h val="0.61285889618971445"/>
        </c:manualLayout>
      </c:layout>
      <c:scatterChart>
        <c:scatterStyle val="smoothMarker"/>
        <c:varyColors val="0"/>
        <c:ser>
          <c:idx val="0"/>
          <c:order val="0"/>
          <c:tx>
            <c:v>電壓對磁場的關係(紅色型)</c:v>
          </c:tx>
          <c:spPr>
            <a:ln w="1905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載體濃度!$C$2:$C$6</c:f>
              <c:numCache>
                <c:formatCode>0.00</c:formatCode>
                <c:ptCount val="5"/>
                <c:pt idx="0">
                  <c:v>0.21859999999999999</c:v>
                </c:pt>
                <c:pt idx="1">
                  <c:v>0.16726999999999997</c:v>
                </c:pt>
                <c:pt idx="2">
                  <c:v>0.1464</c:v>
                </c:pt>
                <c:pt idx="3">
                  <c:v>0.12079999999999999</c:v>
                </c:pt>
                <c:pt idx="4">
                  <c:v>0.1082</c:v>
                </c:pt>
              </c:numCache>
            </c:numRef>
          </c:xVal>
          <c:yVal>
            <c:numRef>
              <c:f>載體濃度!$E$2:$E$6</c:f>
              <c:numCache>
                <c:formatCode>0.00</c:formatCode>
                <c:ptCount val="5"/>
                <c:pt idx="0">
                  <c:v>-58.379999999999995</c:v>
                </c:pt>
                <c:pt idx="1">
                  <c:v>-47.62</c:v>
                </c:pt>
                <c:pt idx="2">
                  <c:v>-41.120000000000005</c:v>
                </c:pt>
                <c:pt idx="3">
                  <c:v>-36.92</c:v>
                </c:pt>
                <c:pt idx="4">
                  <c:v>-33.58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C6B-44F2-91BD-0BB30F289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808592"/>
        <c:axId val="126810960"/>
      </c:scatterChart>
      <c:valAx>
        <c:axId val="116380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磁場</a:t>
                </a:r>
                <a:r>
                  <a:rPr lang="en-US" altLang="zh-TW"/>
                  <a:t>B(T)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6810960"/>
        <c:crosses val="autoZero"/>
        <c:crossBetween val="midCat"/>
      </c:valAx>
      <c:valAx>
        <c:axId val="12681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電壓</a:t>
                </a:r>
                <a:r>
                  <a:rPr lang="en-US" altLang="zh-TW"/>
                  <a:t>V(mV)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63808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5718200973421526"/>
          <c:y val="0.13755514388632942"/>
          <c:w val="0.78014049645979877"/>
          <c:h val="0.6932541885548964"/>
        </c:manualLayout>
      </c:layout>
      <c:scatterChart>
        <c:scatterStyle val="smoothMarker"/>
        <c:varyColors val="0"/>
        <c:ser>
          <c:idx val="0"/>
          <c:order val="0"/>
          <c:tx>
            <c:v>電壓對磁場的關係(黑色型)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載體濃度!$C$7:$C$11</c:f>
              <c:numCache>
                <c:formatCode>0.00</c:formatCode>
                <c:ptCount val="5"/>
                <c:pt idx="0">
                  <c:v>0.21859999999999999</c:v>
                </c:pt>
                <c:pt idx="1">
                  <c:v>0.16726999999999997</c:v>
                </c:pt>
                <c:pt idx="2">
                  <c:v>0.1464</c:v>
                </c:pt>
                <c:pt idx="3">
                  <c:v>0.12079999999999999</c:v>
                </c:pt>
                <c:pt idx="4">
                  <c:v>0.1082</c:v>
                </c:pt>
              </c:numCache>
            </c:numRef>
          </c:xVal>
          <c:yVal>
            <c:numRef>
              <c:f>載體濃度!$E$7:$E$11</c:f>
              <c:numCache>
                <c:formatCode>0.00</c:formatCode>
                <c:ptCount val="5"/>
                <c:pt idx="0">
                  <c:v>79.599999999999994</c:v>
                </c:pt>
                <c:pt idx="1">
                  <c:v>63.8</c:v>
                </c:pt>
                <c:pt idx="2">
                  <c:v>53.758000000000003</c:v>
                </c:pt>
                <c:pt idx="3">
                  <c:v>47.353999999999999</c:v>
                </c:pt>
                <c:pt idx="4">
                  <c:v>42.948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F1-497F-B28A-E329F9138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808592"/>
        <c:axId val="126810960"/>
      </c:scatterChart>
      <c:valAx>
        <c:axId val="116380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磁場</a:t>
                </a:r>
                <a:r>
                  <a:rPr lang="en-US" altLang="zh-TW"/>
                  <a:t>B(T)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6810960"/>
        <c:crosses val="autoZero"/>
        <c:crossBetween val="midCat"/>
      </c:valAx>
      <c:valAx>
        <c:axId val="12681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zh-TW" sz="1000" b="0" i="0" u="none" strike="noStrike" baseline="0">
                    <a:effectLst/>
                  </a:rPr>
                  <a:t>電壓</a:t>
                </a:r>
                <a:r>
                  <a:rPr lang="en-US" altLang="zh-TW" sz="1000" b="0" i="0" u="none" strike="noStrike" baseline="0">
                    <a:effectLst/>
                  </a:rPr>
                  <a:t>V(mV)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63808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363415</xdr:colOff>
      <xdr:row>0</xdr:row>
      <xdr:rowOff>228600</xdr:rowOff>
    </xdr:from>
    <xdr:to>
      <xdr:col>14</xdr:col>
      <xdr:colOff>416169</xdr:colOff>
      <xdr:row>13</xdr:row>
      <xdr:rowOff>175846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297180</xdr:colOff>
      <xdr:row>15</xdr:row>
      <xdr:rowOff>22859</xdr:rowOff>
    </xdr:from>
    <xdr:to>
      <xdr:col>14</xdr:col>
      <xdr:colOff>225287</xdr:colOff>
      <xdr:row>30</xdr:row>
      <xdr:rowOff>139148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141514</xdr:colOff>
      <xdr:row>0</xdr:row>
      <xdr:rowOff>114794</xdr:rowOff>
    </xdr:from>
    <xdr:to>
      <xdr:col>23</xdr:col>
      <xdr:colOff>250371</xdr:colOff>
      <xdr:row>10</xdr:row>
      <xdr:rowOff>62020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61171" y="114794"/>
          <a:ext cx="4376057" cy="2157026"/>
        </a:xfrm>
        <a:prstGeom prst="rect">
          <a:avLst/>
        </a:prstGeom>
      </xdr:spPr>
    </xdr:pic>
    <xdr:clientData/>
  </xdr:twoCellAnchor>
  <xdr:twoCellAnchor editAs="oneCell">
    <xdr:from>
      <xdr:col>15</xdr:col>
      <xdr:colOff>566057</xdr:colOff>
      <xdr:row>13</xdr:row>
      <xdr:rowOff>152400</xdr:rowOff>
    </xdr:from>
    <xdr:to>
      <xdr:col>24</xdr:col>
      <xdr:colOff>32657</xdr:colOff>
      <xdr:row>28</xdr:row>
      <xdr:rowOff>195942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76114" y="3004457"/>
          <a:ext cx="4953000" cy="3145971"/>
        </a:xfrm>
        <a:prstGeom prst="rect">
          <a:avLst/>
        </a:prstGeom>
      </xdr:spPr>
    </xdr:pic>
    <xdr:clientData/>
  </xdr:twoCellAnchor>
  <xdr:twoCellAnchor editAs="oneCell">
    <xdr:from>
      <xdr:col>15</xdr:col>
      <xdr:colOff>592229</xdr:colOff>
      <xdr:row>14</xdr:row>
      <xdr:rowOff>55021</xdr:rowOff>
    </xdr:from>
    <xdr:to>
      <xdr:col>25</xdr:col>
      <xdr:colOff>136651</xdr:colOff>
      <xdr:row>28</xdr:row>
      <xdr:rowOff>13468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279357" y="3030064"/>
          <a:ext cx="5624209" cy="27956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zoomScale="115" zoomScaleNormal="115" workbookViewId="0">
      <selection activeCell="K16" sqref="K16"/>
    </sheetView>
  </sheetViews>
  <sheetFormatPr defaultRowHeight="16.2" x14ac:dyDescent="0.3"/>
  <cols>
    <col min="5" max="5" width="15.44140625" customWidth="1"/>
    <col min="6" max="6" width="14.109375" customWidth="1"/>
    <col min="7" max="7" width="19.109375" customWidth="1"/>
  </cols>
  <sheetData>
    <row r="1" spans="1:7" ht="16.8" thickTop="1" x14ac:dyDescent="0.3">
      <c r="A1" s="31" t="s">
        <v>0</v>
      </c>
      <c r="B1" s="33" t="s">
        <v>32</v>
      </c>
      <c r="C1" s="33"/>
      <c r="D1" s="33"/>
      <c r="E1" s="33"/>
      <c r="F1" s="33"/>
      <c r="G1" s="34"/>
    </row>
    <row r="2" spans="1:7" x14ac:dyDescent="0.3">
      <c r="A2" s="32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</row>
    <row r="3" spans="1:7" x14ac:dyDescent="0.3">
      <c r="A3" s="3">
        <v>0.5</v>
      </c>
      <c r="B3" s="44">
        <v>0.216</v>
      </c>
      <c r="C3" s="44">
        <v>0.22</v>
      </c>
      <c r="D3" s="44">
        <v>0.218</v>
      </c>
      <c r="E3" s="44">
        <v>0.219</v>
      </c>
      <c r="F3" s="44">
        <v>0.22</v>
      </c>
      <c r="G3" s="46">
        <f>AVERAGE(B3:F3)</f>
        <v>0.21859999999999999</v>
      </c>
    </row>
    <row r="4" spans="1:7" x14ac:dyDescent="0.3">
      <c r="A4" s="3">
        <v>1</v>
      </c>
      <c r="B4" s="44">
        <v>0.17</v>
      </c>
      <c r="C4" s="44">
        <v>0.17</v>
      </c>
      <c r="D4" s="44">
        <v>0.16558999999999999</v>
      </c>
      <c r="E4" s="44">
        <v>0.16569</v>
      </c>
      <c r="F4" s="44">
        <v>0.16506999999999999</v>
      </c>
      <c r="G4" s="46">
        <f>AVERAGE(B4:F4)</f>
        <v>0.16726999999999997</v>
      </c>
    </row>
    <row r="5" spans="1:7" x14ac:dyDescent="0.3">
      <c r="A5" s="3">
        <v>1.5</v>
      </c>
      <c r="B5" s="44">
        <v>0.14699999999999999</v>
      </c>
      <c r="C5" s="44">
        <v>0.14599999999999999</v>
      </c>
      <c r="D5" s="44">
        <v>0.14599999999999999</v>
      </c>
      <c r="E5" s="44">
        <v>0.14599999999999999</v>
      </c>
      <c r="F5" s="44">
        <v>0.14699999999999999</v>
      </c>
      <c r="G5" s="46">
        <f t="shared" ref="G5:G7" si="0">AVERAGE(B5:F5)</f>
        <v>0.1464</v>
      </c>
    </row>
    <row r="6" spans="1:7" x14ac:dyDescent="0.3">
      <c r="A6" s="3">
        <v>2</v>
      </c>
      <c r="B6" s="44">
        <v>0.121</v>
      </c>
      <c r="C6" s="44">
        <v>0.121</v>
      </c>
      <c r="D6" s="44">
        <v>0.121</v>
      </c>
      <c r="E6" s="44">
        <v>0.121</v>
      </c>
      <c r="F6" s="44">
        <v>0.12</v>
      </c>
      <c r="G6" s="46">
        <f t="shared" si="0"/>
        <v>0.12079999999999999</v>
      </c>
    </row>
    <row r="7" spans="1:7" ht="16.8" thickBot="1" x14ac:dyDescent="0.35">
      <c r="A7" s="4">
        <v>2.5</v>
      </c>
      <c r="B7" s="45">
        <v>0.109</v>
      </c>
      <c r="C7" s="45">
        <v>0.108</v>
      </c>
      <c r="D7" s="45">
        <v>0.108</v>
      </c>
      <c r="E7" s="45">
        <v>0.108</v>
      </c>
      <c r="F7" s="45">
        <v>0.108</v>
      </c>
      <c r="G7" s="46">
        <f t="shared" si="0"/>
        <v>0.1082</v>
      </c>
    </row>
    <row r="8" spans="1:7" ht="16.8" thickTop="1" x14ac:dyDescent="0.3"/>
  </sheetData>
  <mergeCells count="2">
    <mergeCell ref="A1:A2"/>
    <mergeCell ref="B1:G1"/>
  </mergeCells>
  <phoneticPr fontId="2" type="noConversion"/>
  <pageMargins left="0.7" right="0.7" top="0.75" bottom="0.75" header="0.3" footer="0.3"/>
  <pageSetup paperSize="9" orientation="portrait" r:id="rId1"/>
  <ignoredErrors>
    <ignoredError sqref="G3 G5:G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zoomScale="130" zoomScaleNormal="130" workbookViewId="0">
      <selection activeCell="K17" sqref="K17"/>
    </sheetView>
  </sheetViews>
  <sheetFormatPr defaultRowHeight="16.2" x14ac:dyDescent="0.3"/>
  <sheetData>
    <row r="1" spans="1:8" ht="17.399999999999999" thickTop="1" thickBot="1" x14ac:dyDescent="0.35">
      <c r="A1" s="5" t="s">
        <v>15</v>
      </c>
      <c r="B1" s="6" t="s">
        <v>7</v>
      </c>
      <c r="C1" s="6" t="s">
        <v>8</v>
      </c>
      <c r="D1" s="6" t="s">
        <v>9</v>
      </c>
      <c r="E1" s="6" t="s">
        <v>16</v>
      </c>
      <c r="F1" s="6" t="s">
        <v>17</v>
      </c>
      <c r="G1" s="6" t="s">
        <v>10</v>
      </c>
      <c r="H1" s="7" t="s">
        <v>18</v>
      </c>
    </row>
    <row r="2" spans="1:8" ht="16.8" thickBot="1" x14ac:dyDescent="0.35">
      <c r="A2" s="35">
        <v>0.5</v>
      </c>
      <c r="B2" s="8" t="s">
        <v>19</v>
      </c>
      <c r="C2" s="47">
        <v>27</v>
      </c>
      <c r="D2" s="48">
        <v>28</v>
      </c>
      <c r="E2" s="48">
        <v>27</v>
      </c>
      <c r="F2" s="48">
        <v>27</v>
      </c>
      <c r="G2" s="48">
        <v>28</v>
      </c>
      <c r="H2" s="9">
        <f xml:space="preserve"> AVERAGE(C2:G2)</f>
        <v>27.4</v>
      </c>
    </row>
    <row r="3" spans="1:8" ht="16.8" thickBot="1" x14ac:dyDescent="0.35">
      <c r="A3" s="36"/>
      <c r="B3" s="10" t="s">
        <v>13</v>
      </c>
      <c r="C3" s="49">
        <v>-58.2</v>
      </c>
      <c r="D3" s="50">
        <v>-58.3</v>
      </c>
      <c r="E3" s="50">
        <v>-58.4</v>
      </c>
      <c r="F3" s="50">
        <v>-58.5</v>
      </c>
      <c r="G3" s="50">
        <v>-58.5</v>
      </c>
      <c r="H3" s="18">
        <f t="shared" ref="H3:H11" si="0" xml:space="preserve"> AVERAGE(C3:G3)</f>
        <v>-58.379999999999995</v>
      </c>
    </row>
    <row r="4" spans="1:8" ht="16.8" thickBot="1" x14ac:dyDescent="0.35">
      <c r="A4" s="37">
        <v>1</v>
      </c>
      <c r="B4" s="12" t="s">
        <v>12</v>
      </c>
      <c r="C4" s="49">
        <v>27</v>
      </c>
      <c r="D4" s="50">
        <v>27</v>
      </c>
      <c r="E4" s="50">
        <v>27</v>
      </c>
      <c r="F4" s="50">
        <v>27</v>
      </c>
      <c r="G4" s="50">
        <v>28</v>
      </c>
      <c r="H4" s="13">
        <f t="shared" si="0"/>
        <v>27.2</v>
      </c>
    </row>
    <row r="5" spans="1:8" ht="16.8" thickBot="1" x14ac:dyDescent="0.35">
      <c r="A5" s="38"/>
      <c r="B5" s="14" t="s">
        <v>14</v>
      </c>
      <c r="C5" s="49">
        <v>-47.7</v>
      </c>
      <c r="D5" s="50">
        <v>-47.6</v>
      </c>
      <c r="E5" s="50">
        <v>-47.6</v>
      </c>
      <c r="F5" s="50">
        <v>-47.6</v>
      </c>
      <c r="G5" s="50">
        <v>-47.6</v>
      </c>
      <c r="H5" s="19">
        <f t="shared" si="0"/>
        <v>-47.62</v>
      </c>
    </row>
    <row r="6" spans="1:8" ht="16.8" thickBot="1" x14ac:dyDescent="0.35">
      <c r="A6" s="35">
        <v>1.5</v>
      </c>
      <c r="B6" s="8" t="s">
        <v>20</v>
      </c>
      <c r="C6" s="49">
        <v>27</v>
      </c>
      <c r="D6" s="50">
        <v>27</v>
      </c>
      <c r="E6" s="50">
        <v>28</v>
      </c>
      <c r="F6" s="50">
        <v>27</v>
      </c>
      <c r="G6" s="50">
        <v>28</v>
      </c>
      <c r="H6" s="9">
        <f t="shared" si="0"/>
        <v>27.4</v>
      </c>
    </row>
    <row r="7" spans="1:8" ht="16.8" thickBot="1" x14ac:dyDescent="0.35">
      <c r="A7" s="36"/>
      <c r="B7" s="10" t="s">
        <v>21</v>
      </c>
      <c r="C7" s="49">
        <v>-41.1</v>
      </c>
      <c r="D7" s="50">
        <v>-41.1</v>
      </c>
      <c r="E7" s="50">
        <v>-41.1</v>
      </c>
      <c r="F7" s="50">
        <v>-41.1</v>
      </c>
      <c r="G7" s="50">
        <v>-41.2</v>
      </c>
      <c r="H7" s="18">
        <f t="shared" si="0"/>
        <v>-41.120000000000005</v>
      </c>
    </row>
    <row r="8" spans="1:8" ht="16.8" thickBot="1" x14ac:dyDescent="0.35">
      <c r="A8" s="37">
        <v>2</v>
      </c>
      <c r="B8" s="12" t="s">
        <v>12</v>
      </c>
      <c r="C8" s="49">
        <v>28</v>
      </c>
      <c r="D8" s="50">
        <v>27</v>
      </c>
      <c r="E8" s="50">
        <v>28</v>
      </c>
      <c r="F8" s="50">
        <v>28</v>
      </c>
      <c r="G8" s="50">
        <v>27</v>
      </c>
      <c r="H8" s="13">
        <f t="shared" si="0"/>
        <v>27.6</v>
      </c>
    </row>
    <row r="9" spans="1:8" ht="16.8" thickBot="1" x14ac:dyDescent="0.35">
      <c r="A9" s="38"/>
      <c r="B9" s="14" t="s">
        <v>14</v>
      </c>
      <c r="C9" s="49">
        <v>-36.9</v>
      </c>
      <c r="D9" s="50">
        <v>-36.9</v>
      </c>
      <c r="E9" s="50">
        <v>-37</v>
      </c>
      <c r="F9" s="50">
        <v>-36.9</v>
      </c>
      <c r="G9" s="50">
        <v>-36.9</v>
      </c>
      <c r="H9" s="19">
        <f t="shared" si="0"/>
        <v>-36.92</v>
      </c>
    </row>
    <row r="10" spans="1:8" ht="16.8" thickBot="1" x14ac:dyDescent="0.35">
      <c r="A10" s="35">
        <v>2.5</v>
      </c>
      <c r="B10" s="8" t="s">
        <v>19</v>
      </c>
      <c r="C10" s="49">
        <v>28</v>
      </c>
      <c r="D10" s="50">
        <v>27</v>
      </c>
      <c r="E10" s="50">
        <v>28</v>
      </c>
      <c r="F10" s="50">
        <v>27</v>
      </c>
      <c r="G10" s="50">
        <v>27</v>
      </c>
      <c r="H10" s="9">
        <f t="shared" si="0"/>
        <v>27.4</v>
      </c>
    </row>
    <row r="11" spans="1:8" ht="16.8" thickBot="1" x14ac:dyDescent="0.35">
      <c r="A11" s="39"/>
      <c r="B11" s="16" t="s">
        <v>14</v>
      </c>
      <c r="C11" s="49">
        <v>-33.5</v>
      </c>
      <c r="D11" s="50">
        <v>-33.6</v>
      </c>
      <c r="E11" s="50">
        <v>-33.6</v>
      </c>
      <c r="F11" s="50">
        <v>-33.700000000000003</v>
      </c>
      <c r="G11" s="50">
        <v>-33.5</v>
      </c>
      <c r="H11" s="20">
        <f t="shared" si="0"/>
        <v>-33.58</v>
      </c>
    </row>
    <row r="12" spans="1:8" ht="16.8" thickTop="1" x14ac:dyDescent="0.3"/>
  </sheetData>
  <mergeCells count="5">
    <mergeCell ref="A2:A3"/>
    <mergeCell ref="A4:A5"/>
    <mergeCell ref="A6:A7"/>
    <mergeCell ref="A8:A9"/>
    <mergeCell ref="A10:A1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zoomScale="130" zoomScaleNormal="130" workbookViewId="0">
      <selection activeCell="K19" sqref="K19"/>
    </sheetView>
  </sheetViews>
  <sheetFormatPr defaultRowHeight="16.2" x14ac:dyDescent="0.3"/>
  <sheetData>
    <row r="1" spans="1:8" ht="17.399999999999999" thickTop="1" thickBot="1" x14ac:dyDescent="0.35">
      <c r="A1" s="5" t="s">
        <v>22</v>
      </c>
      <c r="B1" s="6" t="s">
        <v>7</v>
      </c>
      <c r="C1" s="6" t="s">
        <v>8</v>
      </c>
      <c r="D1" s="6" t="s">
        <v>9</v>
      </c>
      <c r="E1" s="6" t="s">
        <v>16</v>
      </c>
      <c r="F1" s="6" t="s">
        <v>17</v>
      </c>
      <c r="G1" s="6" t="s">
        <v>10</v>
      </c>
      <c r="H1" s="7" t="s">
        <v>11</v>
      </c>
    </row>
    <row r="2" spans="1:8" ht="16.8" thickBot="1" x14ac:dyDescent="0.35">
      <c r="A2" s="35">
        <v>0.5</v>
      </c>
      <c r="B2" s="8" t="s">
        <v>12</v>
      </c>
      <c r="C2" s="24">
        <v>32</v>
      </c>
      <c r="D2" s="25">
        <v>32</v>
      </c>
      <c r="E2" s="25">
        <v>31</v>
      </c>
      <c r="F2" s="25">
        <v>31</v>
      </c>
      <c r="G2" s="25">
        <v>31</v>
      </c>
      <c r="H2" s="9">
        <f xml:space="preserve"> AVERAGE(C2:G2)</f>
        <v>31.4</v>
      </c>
    </row>
    <row r="3" spans="1:8" ht="16.8" thickBot="1" x14ac:dyDescent="0.35">
      <c r="A3" s="36"/>
      <c r="B3" s="10" t="s">
        <v>14</v>
      </c>
      <c r="C3" s="26">
        <v>79.599999999999994</v>
      </c>
      <c r="D3" s="27">
        <v>79.599999999999994</v>
      </c>
      <c r="E3" s="27">
        <v>79.599999999999994</v>
      </c>
      <c r="F3" s="27">
        <v>79.599999999999994</v>
      </c>
      <c r="G3" s="27">
        <v>79.599999999999994</v>
      </c>
      <c r="H3" s="11">
        <f t="shared" ref="H3:H11" si="0" xml:space="preserve"> AVERAGE(C3:G3)</f>
        <v>79.599999999999994</v>
      </c>
    </row>
    <row r="4" spans="1:8" ht="16.8" thickBot="1" x14ac:dyDescent="0.35">
      <c r="A4" s="37">
        <v>1</v>
      </c>
      <c r="B4" s="12" t="s">
        <v>12</v>
      </c>
      <c r="C4" s="26">
        <v>32</v>
      </c>
      <c r="D4" s="27">
        <v>32</v>
      </c>
      <c r="E4" s="27">
        <v>32</v>
      </c>
      <c r="F4" s="27">
        <v>32</v>
      </c>
      <c r="G4" s="27">
        <v>32</v>
      </c>
      <c r="H4" s="13">
        <f t="shared" si="0"/>
        <v>32</v>
      </c>
    </row>
    <row r="5" spans="1:8" ht="16.8" thickBot="1" x14ac:dyDescent="0.35">
      <c r="A5" s="38"/>
      <c r="B5" s="14" t="s">
        <v>13</v>
      </c>
      <c r="C5" s="26">
        <v>63.8</v>
      </c>
      <c r="D5" s="27">
        <v>63.8</v>
      </c>
      <c r="E5" s="27">
        <v>63.8</v>
      </c>
      <c r="F5" s="27">
        <v>63.8</v>
      </c>
      <c r="G5" s="27">
        <v>63.8</v>
      </c>
      <c r="H5" s="15">
        <f t="shared" si="0"/>
        <v>63.8</v>
      </c>
    </row>
    <row r="6" spans="1:8" ht="16.8" thickBot="1" x14ac:dyDescent="0.35">
      <c r="A6" s="35">
        <v>1.5</v>
      </c>
      <c r="B6" s="8" t="s">
        <v>12</v>
      </c>
      <c r="C6" s="26">
        <v>32</v>
      </c>
      <c r="D6" s="27">
        <v>31</v>
      </c>
      <c r="E6" s="27">
        <v>31</v>
      </c>
      <c r="F6" s="27">
        <v>32</v>
      </c>
      <c r="G6" s="27">
        <v>32</v>
      </c>
      <c r="H6" s="9">
        <f t="shared" si="0"/>
        <v>31.6</v>
      </c>
    </row>
    <row r="7" spans="1:8" ht="16.8" thickBot="1" x14ac:dyDescent="0.35">
      <c r="A7" s="36"/>
      <c r="B7" s="10" t="s">
        <v>14</v>
      </c>
      <c r="C7" s="26">
        <v>53.7</v>
      </c>
      <c r="D7" s="27">
        <v>53.77</v>
      </c>
      <c r="E7" s="27">
        <v>53.77</v>
      </c>
      <c r="F7" s="27">
        <v>53.77</v>
      </c>
      <c r="G7" s="27">
        <v>53.78</v>
      </c>
      <c r="H7" s="11">
        <f t="shared" si="0"/>
        <v>53.758000000000003</v>
      </c>
    </row>
    <row r="8" spans="1:8" ht="16.8" thickBot="1" x14ac:dyDescent="0.35">
      <c r="A8" s="37">
        <v>2</v>
      </c>
      <c r="B8" s="12" t="s">
        <v>23</v>
      </c>
      <c r="C8" s="26">
        <v>32</v>
      </c>
      <c r="D8" s="27">
        <v>32</v>
      </c>
      <c r="E8" s="27">
        <v>32</v>
      </c>
      <c r="F8" s="27">
        <v>32</v>
      </c>
      <c r="G8" s="27">
        <v>31</v>
      </c>
      <c r="H8" s="13">
        <f t="shared" si="0"/>
        <v>31.8</v>
      </c>
    </row>
    <row r="9" spans="1:8" ht="16.8" thickBot="1" x14ac:dyDescent="0.35">
      <c r="A9" s="38"/>
      <c r="B9" s="14" t="s">
        <v>24</v>
      </c>
      <c r="C9" s="26">
        <v>47.33</v>
      </c>
      <c r="D9" s="27">
        <v>47.34</v>
      </c>
      <c r="E9" s="27">
        <v>47.36</v>
      </c>
      <c r="F9" s="27">
        <v>47.37</v>
      </c>
      <c r="G9" s="27">
        <v>47.37</v>
      </c>
      <c r="H9" s="15">
        <f t="shared" si="0"/>
        <v>47.353999999999999</v>
      </c>
    </row>
    <row r="10" spans="1:8" ht="16.8" thickBot="1" x14ac:dyDescent="0.35">
      <c r="A10" s="35">
        <v>2.5</v>
      </c>
      <c r="B10" s="8" t="s">
        <v>12</v>
      </c>
      <c r="C10" s="26">
        <v>32</v>
      </c>
      <c r="D10" s="27">
        <v>32</v>
      </c>
      <c r="E10" s="27">
        <v>32</v>
      </c>
      <c r="F10" s="27">
        <v>32</v>
      </c>
      <c r="G10" s="27">
        <v>31</v>
      </c>
      <c r="H10" s="9">
        <f t="shared" si="0"/>
        <v>31.8</v>
      </c>
    </row>
    <row r="11" spans="1:8" ht="16.8" thickBot="1" x14ac:dyDescent="0.35">
      <c r="A11" s="39"/>
      <c r="B11" s="16" t="s">
        <v>14</v>
      </c>
      <c r="C11" s="26">
        <v>42.91</v>
      </c>
      <c r="D11" s="27">
        <v>42.94</v>
      </c>
      <c r="E11" s="27">
        <v>42.95</v>
      </c>
      <c r="F11" s="27">
        <v>42.96</v>
      </c>
      <c r="G11" s="27">
        <v>42.98</v>
      </c>
      <c r="H11" s="17">
        <f t="shared" si="0"/>
        <v>42.948</v>
      </c>
    </row>
    <row r="12" spans="1:8" ht="16.8" thickTop="1" x14ac:dyDescent="0.3"/>
  </sheetData>
  <mergeCells count="5">
    <mergeCell ref="A2:A3"/>
    <mergeCell ref="A4:A5"/>
    <mergeCell ref="A6:A7"/>
    <mergeCell ref="A8:A9"/>
    <mergeCell ref="A10:A1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tabSelected="1" topLeftCell="L10" zoomScale="130" zoomScaleNormal="130" workbookViewId="0">
      <selection activeCell="P34" sqref="P34"/>
    </sheetView>
  </sheetViews>
  <sheetFormatPr defaultRowHeight="16.2" x14ac:dyDescent="0.3"/>
  <cols>
    <col min="1" max="1" width="11.44140625" customWidth="1"/>
    <col min="3" max="3" width="14.5546875" customWidth="1"/>
  </cols>
  <sheetData>
    <row r="1" spans="1:7" ht="19.8" thickTop="1" thickBot="1" x14ac:dyDescent="0.35">
      <c r="A1" s="28" t="s">
        <v>26</v>
      </c>
      <c r="B1" s="29" t="s">
        <v>27</v>
      </c>
      <c r="C1" s="29" t="s">
        <v>33</v>
      </c>
      <c r="D1" s="29" t="s">
        <v>28</v>
      </c>
      <c r="E1" s="30" t="s">
        <v>29</v>
      </c>
      <c r="F1" s="31" t="s">
        <v>31</v>
      </c>
      <c r="G1" s="43"/>
    </row>
    <row r="2" spans="1:7" ht="16.8" thickBot="1" x14ac:dyDescent="0.35">
      <c r="A2" s="32" t="s">
        <v>25</v>
      </c>
      <c r="B2" s="1">
        <v>0.5</v>
      </c>
      <c r="C2" s="21">
        <f>'磁場(B)'!G3</f>
        <v>0.21859999999999999</v>
      </c>
      <c r="D2" s="22">
        <f>紅色型!H2</f>
        <v>27.4</v>
      </c>
      <c r="E2" s="22">
        <f>紅色型!H3</f>
        <v>-58.379999999999995</v>
      </c>
      <c r="F2" s="41">
        <f xml:space="preserve"> ABS(C2*D2/((1.6*10^-19)*E2*0.001))</f>
        <v>6.4123415553271661E+20</v>
      </c>
      <c r="G2" s="42"/>
    </row>
    <row r="3" spans="1:7" ht="16.8" thickBot="1" x14ac:dyDescent="0.35">
      <c r="A3" s="32"/>
      <c r="B3" s="1">
        <v>1</v>
      </c>
      <c r="C3" s="21">
        <f>'磁場(B)'!G4</f>
        <v>0.16726999999999997</v>
      </c>
      <c r="D3" s="23">
        <f>紅色型!H4</f>
        <v>27.2</v>
      </c>
      <c r="E3" s="22">
        <f>紅色型!H5</f>
        <v>-47.62</v>
      </c>
      <c r="F3" s="41">
        <f xml:space="preserve"> ABS(C3*D3/((1.6*10^-19)*E3*0.001))</f>
        <v>5.9714195716085672E+20</v>
      </c>
      <c r="G3" s="42"/>
    </row>
    <row r="4" spans="1:7" ht="16.8" thickBot="1" x14ac:dyDescent="0.35">
      <c r="A4" s="32"/>
      <c r="B4" s="1">
        <v>1.5</v>
      </c>
      <c r="C4" s="21">
        <f>'磁場(B)'!G5</f>
        <v>0.1464</v>
      </c>
      <c r="D4" s="23">
        <f>紅色型!H6</f>
        <v>27.4</v>
      </c>
      <c r="E4" s="22">
        <f>紅色型!H7</f>
        <v>-41.120000000000005</v>
      </c>
      <c r="F4" s="41">
        <f t="shared" ref="F4:F11" si="0" xml:space="preserve"> ABS(C4*D4/((1.6*10^-19)*E4*0.001))</f>
        <v>6.0970330739299595E+20</v>
      </c>
      <c r="G4" s="42"/>
    </row>
    <row r="5" spans="1:7" ht="16.8" thickBot="1" x14ac:dyDescent="0.35">
      <c r="A5" s="32"/>
      <c r="B5" s="1">
        <v>2</v>
      </c>
      <c r="C5" s="21">
        <f>'磁場(B)'!G6</f>
        <v>0.12079999999999999</v>
      </c>
      <c r="D5" s="23">
        <f>紅色型!H6</f>
        <v>27.4</v>
      </c>
      <c r="E5" s="22">
        <f>紅色型!H9</f>
        <v>-36.92</v>
      </c>
      <c r="F5" s="41">
        <f t="shared" si="0"/>
        <v>5.6031960996749705E+20</v>
      </c>
      <c r="G5" s="42"/>
    </row>
    <row r="6" spans="1:7" ht="16.8" thickBot="1" x14ac:dyDescent="0.35">
      <c r="A6" s="32"/>
      <c r="B6" s="1">
        <v>2.5</v>
      </c>
      <c r="C6" s="21">
        <f>'磁場(B)'!G7</f>
        <v>0.1082</v>
      </c>
      <c r="D6" s="23">
        <f>紅色型!H10</f>
        <v>27.4</v>
      </c>
      <c r="E6" s="22">
        <f>紅色型!H11</f>
        <v>-33.58</v>
      </c>
      <c r="F6" s="41">
        <f t="shared" si="0"/>
        <v>5.5179422275163783E+20</v>
      </c>
      <c r="G6" s="42"/>
    </row>
    <row r="7" spans="1:7" ht="16.8" thickBot="1" x14ac:dyDescent="0.35">
      <c r="A7" s="32" t="s">
        <v>30</v>
      </c>
      <c r="B7" s="1">
        <v>0.5</v>
      </c>
      <c r="C7" s="21">
        <f>'磁場(B)'!G3</f>
        <v>0.21859999999999999</v>
      </c>
      <c r="D7" s="23">
        <f>黑色型!H2</f>
        <v>31.4</v>
      </c>
      <c r="E7" s="23">
        <f>黑色型!H3</f>
        <v>79.599999999999994</v>
      </c>
      <c r="F7" s="41">
        <f t="shared" si="0"/>
        <v>5.3894786432160793E+20</v>
      </c>
      <c r="G7" s="42"/>
    </row>
    <row r="8" spans="1:7" ht="16.8" thickBot="1" x14ac:dyDescent="0.35">
      <c r="A8" s="32"/>
      <c r="B8" s="1">
        <v>1</v>
      </c>
      <c r="C8" s="21">
        <f>'磁場(B)'!G4</f>
        <v>0.16726999999999997</v>
      </c>
      <c r="D8" s="23">
        <f>黑色型!H4</f>
        <v>32</v>
      </c>
      <c r="E8" s="23">
        <f>黑色型!H5</f>
        <v>63.8</v>
      </c>
      <c r="F8" s="41">
        <f t="shared" si="0"/>
        <v>5.2435736677115979E+20</v>
      </c>
      <c r="G8" s="42"/>
    </row>
    <row r="9" spans="1:7" ht="16.8" thickBot="1" x14ac:dyDescent="0.35">
      <c r="A9" s="32"/>
      <c r="B9" s="1">
        <v>1.5</v>
      </c>
      <c r="C9" s="21">
        <f>'磁場(B)'!G5</f>
        <v>0.1464</v>
      </c>
      <c r="D9" s="23">
        <f>黑色型!H6</f>
        <v>31.6</v>
      </c>
      <c r="E9" s="23">
        <f>黑色型!H7</f>
        <v>53.758000000000003</v>
      </c>
      <c r="F9" s="41">
        <f t="shared" si="0"/>
        <v>5.3785483090888792E+20</v>
      </c>
      <c r="G9" s="42"/>
    </row>
    <row r="10" spans="1:7" ht="16.8" thickBot="1" x14ac:dyDescent="0.35">
      <c r="A10" s="32"/>
      <c r="B10" s="1">
        <v>2</v>
      </c>
      <c r="C10" s="21">
        <f>'磁場(B)'!G6</f>
        <v>0.12079999999999999</v>
      </c>
      <c r="D10" s="23">
        <f>黑色型!H8</f>
        <v>31.8</v>
      </c>
      <c r="E10" s="23">
        <f>黑色型!H9</f>
        <v>47.353999999999999</v>
      </c>
      <c r="F10" s="41">
        <f t="shared" si="0"/>
        <v>5.0701102335599942E+20</v>
      </c>
      <c r="G10" s="42"/>
    </row>
    <row r="11" spans="1:7" ht="16.8" thickBot="1" x14ac:dyDescent="0.35">
      <c r="A11" s="40"/>
      <c r="B11" s="16">
        <v>2.5</v>
      </c>
      <c r="C11" s="21">
        <f>'磁場(B)'!G7</f>
        <v>0.1082</v>
      </c>
      <c r="D11" s="23">
        <f>黑色型!H10</f>
        <v>31.8</v>
      </c>
      <c r="E11" s="23">
        <f>黑色型!H11</f>
        <v>42.948</v>
      </c>
      <c r="F11" s="41">
        <f t="shared" si="0"/>
        <v>5.0071598211790995E+20</v>
      </c>
      <c r="G11" s="42"/>
    </row>
    <row r="12" spans="1:7" ht="16.8" thickTop="1" x14ac:dyDescent="0.3"/>
  </sheetData>
  <mergeCells count="13">
    <mergeCell ref="F1:G1"/>
    <mergeCell ref="A2:A6"/>
    <mergeCell ref="F2:G2"/>
    <mergeCell ref="F3:G3"/>
    <mergeCell ref="F4:G4"/>
    <mergeCell ref="F5:G5"/>
    <mergeCell ref="F6:G6"/>
    <mergeCell ref="A7:A11"/>
    <mergeCell ref="F7:G7"/>
    <mergeCell ref="F8:G8"/>
    <mergeCell ref="F9:G9"/>
    <mergeCell ref="F10:G10"/>
    <mergeCell ref="F11:G1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磁場(B)</vt:lpstr>
      <vt:lpstr>紅色型</vt:lpstr>
      <vt:lpstr>黑色型</vt:lpstr>
      <vt:lpstr>載體濃度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2025-03-27T14:02:39Z</dcterms:created>
  <dcterms:modified xsi:type="dcterms:W3CDTF">2026-04-13T01:27:57Z</dcterms:modified>
</cp:coreProperties>
</file>