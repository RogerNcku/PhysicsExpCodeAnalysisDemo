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凱翔淵\彭靖翔\成功大學\成大電機\課程\大一下\普物實驗二\普物實驗程式輔助分析\8\"/>
    </mc:Choice>
  </mc:AlternateContent>
  <bookViews>
    <workbookView xWindow="0" yWindow="0" windowWidth="24686" windowHeight="9129"/>
  </bookViews>
  <sheets>
    <sheet name="磁滯曲線實驗1" sheetId="1" r:id="rId1"/>
    <sheet name="磁滯曲線實驗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4" i="1" l="1"/>
  <c r="T63" i="1" l="1"/>
  <c r="H6" i="2" l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E6" i="2" l="1"/>
  <c r="H7" i="2" l="1"/>
  <c r="E7" i="2"/>
  <c r="L8" i="1"/>
  <c r="L7" i="1"/>
  <c r="R4" i="1" l="1"/>
  <c r="J4" i="1"/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L4" i="1"/>
  <c r="L5" i="1"/>
  <c r="L6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H7" i="1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H4" i="1"/>
  <c r="R5" i="1"/>
  <c r="R6" i="1" s="1"/>
  <c r="R7" i="1" s="1"/>
  <c r="P4" i="1"/>
  <c r="N5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J5" i="1"/>
  <c r="J6" i="1" s="1"/>
  <c r="J7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J8" i="1" l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R8" i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</calcChain>
</file>

<file path=xl/sharedStrings.xml><?xml version="1.0" encoding="utf-8"?>
<sst xmlns="http://schemas.openxmlformats.org/spreadsheetml/2006/main" count="39" uniqueCount="19">
  <si>
    <t>I(A)</t>
    <phoneticPr fontId="1" type="noConversion"/>
  </si>
  <si>
    <t>θ平均值</t>
    <phoneticPr fontId="1" type="noConversion"/>
  </si>
  <si>
    <r>
      <t>tan</t>
    </r>
    <r>
      <rPr>
        <sz val="12"/>
        <color theme="1"/>
        <rFont val="Calibri"/>
        <family val="4"/>
        <charset val="161"/>
      </rPr>
      <t>θ</t>
    </r>
    <phoneticPr fontId="1" type="noConversion"/>
  </si>
  <si>
    <t>tanθ</t>
    <phoneticPr fontId="1" type="noConversion"/>
  </si>
  <si>
    <t>Hc(N/L)=</t>
  </si>
  <si>
    <t>Br(αμ0)=</t>
  </si>
  <si>
    <r>
      <rPr>
        <sz val="12"/>
        <color theme="1"/>
        <rFont val="標楷體"/>
        <family val="4"/>
        <charset val="136"/>
      </rPr>
      <t>抗磁力</t>
    </r>
    <phoneticPr fontId="1" type="noConversion"/>
  </si>
  <si>
    <r>
      <rPr>
        <sz val="12"/>
        <color theme="1"/>
        <rFont val="標楷體"/>
        <family val="4"/>
        <charset val="136"/>
      </rPr>
      <t>殘磁量</t>
    </r>
    <phoneticPr fontId="1" type="noConversion"/>
  </si>
  <si>
    <r>
      <t>F</t>
    </r>
    <r>
      <rPr>
        <sz val="12"/>
        <color theme="1"/>
        <rFont val="標楷體"/>
        <family val="4"/>
        <charset val="136"/>
      </rPr>
      <t>：抗磁力與殘磁量</t>
    </r>
    <phoneticPr fontId="1" type="noConversion"/>
  </si>
  <si>
    <t>θ平均值</t>
    <phoneticPr fontId="1" type="noConversion"/>
  </si>
  <si>
    <t>B：飽和~0A</t>
    <phoneticPr fontId="1" type="noConversion"/>
  </si>
  <si>
    <t>A：0.05A~飽和</t>
    <phoneticPr fontId="1" type="noConversion"/>
  </si>
  <si>
    <t>D：飽和~0A</t>
    <phoneticPr fontId="1" type="noConversion"/>
  </si>
  <si>
    <t>C：-0.05A~飽和</t>
    <phoneticPr fontId="1" type="noConversion"/>
  </si>
  <si>
    <r>
      <rPr>
        <sz val="12"/>
        <color theme="1"/>
        <rFont val="標楷體"/>
        <family val="4"/>
        <charset val="136"/>
      </rPr>
      <t>表格</t>
    </r>
    <r>
      <rPr>
        <sz val="12"/>
        <color theme="1"/>
        <rFont val="Times New Roman"/>
        <family val="1"/>
      </rPr>
      <t>B</t>
    </r>
    <r>
      <rPr>
        <sz val="12"/>
        <color theme="1"/>
        <rFont val="標楷體"/>
        <family val="4"/>
        <charset val="136"/>
      </rPr>
      <t>：飽和</t>
    </r>
    <r>
      <rPr>
        <sz val="12"/>
        <color theme="1"/>
        <rFont val="Times New Roman"/>
        <family val="1"/>
      </rPr>
      <t>~0A</t>
    </r>
    <phoneticPr fontId="1" type="noConversion"/>
  </si>
  <si>
    <r>
      <rPr>
        <sz val="12"/>
        <color theme="1"/>
        <rFont val="標楷體"/>
        <family val="4"/>
        <charset val="136"/>
      </rPr>
      <t>表格</t>
    </r>
    <r>
      <rPr>
        <sz val="12"/>
        <color theme="1"/>
        <rFont val="Times New Roman"/>
        <family val="1"/>
      </rPr>
      <t>C</t>
    </r>
    <r>
      <rPr>
        <sz val="12"/>
        <color theme="1"/>
        <rFont val="標楷體"/>
        <family val="4"/>
        <charset val="136"/>
      </rPr>
      <t>：</t>
    </r>
    <r>
      <rPr>
        <sz val="12"/>
        <color theme="1"/>
        <rFont val="Times New Roman"/>
        <family val="1"/>
      </rPr>
      <t>-0.05A~-</t>
    </r>
    <r>
      <rPr>
        <sz val="12"/>
        <color theme="1"/>
        <rFont val="標楷體"/>
        <family val="4"/>
        <charset val="136"/>
      </rPr>
      <t>飽和</t>
    </r>
    <phoneticPr fontId="1" type="noConversion"/>
  </si>
  <si>
    <r>
      <rPr>
        <sz val="12"/>
        <color theme="1"/>
        <rFont val="標楷體"/>
        <family val="4"/>
        <charset val="136"/>
      </rPr>
      <t>表格</t>
    </r>
    <r>
      <rPr>
        <sz val="12"/>
        <color theme="1"/>
        <rFont val="Times New Roman"/>
        <family val="1"/>
      </rPr>
      <t>E</t>
    </r>
    <r>
      <rPr>
        <sz val="12"/>
        <color theme="1"/>
        <rFont val="標楷體"/>
        <family val="4"/>
        <charset val="136"/>
      </rPr>
      <t>：</t>
    </r>
    <r>
      <rPr>
        <sz val="12"/>
        <color theme="1"/>
        <rFont val="Times New Roman"/>
        <family val="1"/>
      </rPr>
      <t>0.05~</t>
    </r>
    <r>
      <rPr>
        <sz val="12"/>
        <color theme="1"/>
        <rFont val="標楷體"/>
        <family val="4"/>
        <charset val="136"/>
      </rPr>
      <t>飽和</t>
    </r>
    <phoneticPr fontId="1" type="noConversion"/>
  </si>
  <si>
    <r>
      <rPr>
        <sz val="12"/>
        <color theme="1"/>
        <rFont val="標楷體"/>
        <family val="4"/>
        <charset val="136"/>
      </rPr>
      <t>表格</t>
    </r>
    <r>
      <rPr>
        <sz val="12"/>
        <color theme="1"/>
        <rFont val="Times New Roman"/>
        <family val="1"/>
      </rPr>
      <t>D</t>
    </r>
    <r>
      <rPr>
        <sz val="12"/>
        <color theme="1"/>
        <rFont val="標楷體"/>
        <family val="4"/>
        <charset val="136"/>
      </rPr>
      <t>：飽和</t>
    </r>
    <r>
      <rPr>
        <sz val="12"/>
        <color theme="1"/>
        <rFont val="Times New Roman"/>
        <family val="1"/>
      </rPr>
      <t>~0A</t>
    </r>
    <phoneticPr fontId="1" type="noConversion"/>
  </si>
  <si>
    <t>E：0.05A~飽和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</si>
</sst>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color theme="1"/>
      <name val="Calibri"/>
      <family val="4"/>
      <charset val="161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2" borderId="7" xfId="0" applyNumberFormat="1" applyFont="1" applyFill="1" applyBorder="1" applyAlignment="1">
      <alignment horizontal="center" vertical="center"/>
    </xf>
    <xf numFmtId="2" fontId="2" fillId="2" borderId="8" xfId="0" applyNumberFormat="1" applyFont="1" applyFill="1" applyBorder="1" applyAlignment="1">
      <alignment horizontal="center" vertical="center"/>
    </xf>
    <xf numFmtId="2" fontId="2" fillId="3" borderId="4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5" fillId="3" borderId="5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2" fontId="5" fillId="5" borderId="5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2" fontId="5" fillId="4" borderId="5" xfId="0" applyNumberFormat="1" applyFont="1" applyFill="1" applyBorder="1" applyAlignment="1">
      <alignment horizontal="center" vertical="center"/>
    </xf>
    <xf numFmtId="2" fontId="2" fillId="7" borderId="4" xfId="0" applyNumberFormat="1" applyFont="1" applyFill="1" applyBorder="1" applyAlignment="1">
      <alignment horizontal="center" vertical="center"/>
    </xf>
    <xf numFmtId="2" fontId="2" fillId="7" borderId="6" xfId="0" applyNumberFormat="1" applyFont="1" applyFill="1" applyBorder="1" applyAlignment="1">
      <alignment horizontal="center" vertical="center"/>
    </xf>
    <xf numFmtId="2" fontId="2" fillId="3" borderId="6" xfId="0" applyNumberFormat="1" applyFont="1" applyFill="1" applyBorder="1" applyAlignment="1">
      <alignment horizontal="center" vertical="center"/>
    </xf>
    <xf numFmtId="2" fontId="2" fillId="8" borderId="4" xfId="0" applyNumberFormat="1" applyFont="1" applyFill="1" applyBorder="1" applyAlignment="1">
      <alignment horizontal="center" vertical="center"/>
    </xf>
    <xf numFmtId="2" fontId="2" fillId="8" borderId="6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2" fontId="5" fillId="3" borderId="5" xfId="0" applyNumberFormat="1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磁滯曲線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0.05~3A(1)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磁滯曲線實驗1!$B$4:$B$63</c:f>
              <c:numCache>
                <c:formatCode>0.00</c:formatCode>
                <c:ptCount val="60"/>
                <c:pt idx="0">
                  <c:v>0.05</c:v>
                </c:pt>
                <c:pt idx="1">
                  <c:v>0.1</c:v>
                </c:pt>
                <c:pt idx="2">
                  <c:v>0.15000000000000002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0.39999999999999997</c:v>
                </c:pt>
                <c:pt idx="8">
                  <c:v>0.44999999999999996</c:v>
                </c:pt>
                <c:pt idx="9">
                  <c:v>0.49999999999999994</c:v>
                </c:pt>
                <c:pt idx="10">
                  <c:v>0.54999999999999993</c:v>
                </c:pt>
                <c:pt idx="11">
                  <c:v>0.6</c:v>
                </c:pt>
                <c:pt idx="12">
                  <c:v>0.65</c:v>
                </c:pt>
                <c:pt idx="13">
                  <c:v>0.70000000000000007</c:v>
                </c:pt>
                <c:pt idx="14">
                  <c:v>0.75000000000000011</c:v>
                </c:pt>
                <c:pt idx="15">
                  <c:v>0.80000000000000016</c:v>
                </c:pt>
                <c:pt idx="16">
                  <c:v>0.8500000000000002</c:v>
                </c:pt>
                <c:pt idx="17">
                  <c:v>0.90000000000000024</c:v>
                </c:pt>
                <c:pt idx="18">
                  <c:v>0.95000000000000029</c:v>
                </c:pt>
                <c:pt idx="19">
                  <c:v>1.0000000000000002</c:v>
                </c:pt>
                <c:pt idx="20">
                  <c:v>1.0500000000000003</c:v>
                </c:pt>
                <c:pt idx="21">
                  <c:v>1.1000000000000003</c:v>
                </c:pt>
                <c:pt idx="22">
                  <c:v>1.1500000000000004</c:v>
                </c:pt>
                <c:pt idx="23">
                  <c:v>1.2000000000000004</c:v>
                </c:pt>
                <c:pt idx="24">
                  <c:v>1.2500000000000004</c:v>
                </c:pt>
                <c:pt idx="25">
                  <c:v>1.3000000000000005</c:v>
                </c:pt>
                <c:pt idx="26">
                  <c:v>1.3500000000000005</c:v>
                </c:pt>
                <c:pt idx="27">
                  <c:v>1.4000000000000006</c:v>
                </c:pt>
                <c:pt idx="28">
                  <c:v>1.4500000000000006</c:v>
                </c:pt>
                <c:pt idx="29">
                  <c:v>1.5000000000000007</c:v>
                </c:pt>
                <c:pt idx="30">
                  <c:v>1.5500000000000007</c:v>
                </c:pt>
                <c:pt idx="31">
                  <c:v>1.6000000000000008</c:v>
                </c:pt>
                <c:pt idx="32">
                  <c:v>1.6500000000000008</c:v>
                </c:pt>
                <c:pt idx="33">
                  <c:v>1.7000000000000008</c:v>
                </c:pt>
                <c:pt idx="34">
                  <c:v>1.7500000000000009</c:v>
                </c:pt>
                <c:pt idx="35">
                  <c:v>1.8000000000000009</c:v>
                </c:pt>
                <c:pt idx="36">
                  <c:v>1.850000000000001</c:v>
                </c:pt>
                <c:pt idx="37">
                  <c:v>1.900000000000001</c:v>
                </c:pt>
                <c:pt idx="38">
                  <c:v>1.9500000000000011</c:v>
                </c:pt>
                <c:pt idx="39">
                  <c:v>2.0000000000000009</c:v>
                </c:pt>
                <c:pt idx="40">
                  <c:v>2.0500000000000007</c:v>
                </c:pt>
                <c:pt idx="41">
                  <c:v>2.1000000000000005</c:v>
                </c:pt>
                <c:pt idx="42">
                  <c:v>2.1500000000000004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2.3499999999999996</c:v>
                </c:pt>
                <c:pt idx="47">
                  <c:v>2.3999999999999995</c:v>
                </c:pt>
                <c:pt idx="48">
                  <c:v>2.4499999999999993</c:v>
                </c:pt>
                <c:pt idx="49">
                  <c:v>2.4999999999999991</c:v>
                </c:pt>
                <c:pt idx="50">
                  <c:v>2.5499999999999989</c:v>
                </c:pt>
                <c:pt idx="51">
                  <c:v>2.5999999999999988</c:v>
                </c:pt>
                <c:pt idx="52">
                  <c:v>2.6499999999999986</c:v>
                </c:pt>
                <c:pt idx="53">
                  <c:v>2.6999999999999984</c:v>
                </c:pt>
                <c:pt idx="54">
                  <c:v>2.7499999999999982</c:v>
                </c:pt>
                <c:pt idx="55">
                  <c:v>2.799999999999998</c:v>
                </c:pt>
                <c:pt idx="56">
                  <c:v>2.8499999999999979</c:v>
                </c:pt>
                <c:pt idx="57">
                  <c:v>2.8999999999999977</c:v>
                </c:pt>
                <c:pt idx="58">
                  <c:v>2.9499999999999975</c:v>
                </c:pt>
                <c:pt idx="59">
                  <c:v>2.9999999999999973</c:v>
                </c:pt>
              </c:numCache>
            </c:numRef>
          </c:xVal>
          <c:yVal>
            <c:numRef>
              <c:f>磁滯曲線實驗1!$D$4:$D$63</c:f>
              <c:numCache>
                <c:formatCode>0.00</c:formatCode>
                <c:ptCount val="60"/>
                <c:pt idx="0">
                  <c:v>2.0947013909659987E-2</c:v>
                </c:pt>
                <c:pt idx="1">
                  <c:v>2.6185921569186931E-2</c:v>
                </c:pt>
                <c:pt idx="2">
                  <c:v>3.492076949174773E-2</c:v>
                </c:pt>
                <c:pt idx="3">
                  <c:v>4.3660942908512058E-2</c:v>
                </c:pt>
                <c:pt idx="4">
                  <c:v>5.4158064087028765E-2</c:v>
                </c:pt>
                <c:pt idx="5">
                  <c:v>6.9926811943510414E-2</c:v>
                </c:pt>
                <c:pt idx="6">
                  <c:v>8.5730241778550056E-2</c:v>
                </c:pt>
                <c:pt idx="7">
                  <c:v>0.19438030913771848</c:v>
                </c:pt>
                <c:pt idx="8">
                  <c:v>0.42447481620960476</c:v>
                </c:pt>
                <c:pt idx="9">
                  <c:v>0.58904501642055096</c:v>
                </c:pt>
                <c:pt idx="10">
                  <c:v>0.83316858923505821</c:v>
                </c:pt>
                <c:pt idx="11">
                  <c:v>1.110612514829193</c:v>
                </c:pt>
                <c:pt idx="12">
                  <c:v>1.3174513465927098</c:v>
                </c:pt>
                <c:pt idx="13">
                  <c:v>1.4714553158199688</c:v>
                </c:pt>
                <c:pt idx="14">
                  <c:v>1.5339969024544566</c:v>
                </c:pt>
                <c:pt idx="15">
                  <c:v>1.6065671845612968</c:v>
                </c:pt>
                <c:pt idx="16">
                  <c:v>1.6841919482775909</c:v>
                </c:pt>
                <c:pt idx="17">
                  <c:v>1.7390533002149762</c:v>
                </c:pt>
                <c:pt idx="18">
                  <c:v>1.8807264653463318</c:v>
                </c:pt>
                <c:pt idx="19">
                  <c:v>1.9209821269711662</c:v>
                </c:pt>
                <c:pt idx="20">
                  <c:v>1.9626105055051504</c:v>
                </c:pt>
                <c:pt idx="21">
                  <c:v>1.9626105055051504</c:v>
                </c:pt>
                <c:pt idx="22">
                  <c:v>1.9969538555995485</c:v>
                </c:pt>
                <c:pt idx="23">
                  <c:v>2.050303841579296</c:v>
                </c:pt>
                <c:pt idx="24">
                  <c:v>2.0965435990881738</c:v>
                </c:pt>
                <c:pt idx="25">
                  <c:v>2.1347714081041396</c:v>
                </c:pt>
                <c:pt idx="26">
                  <c:v>2.1543155843129504</c:v>
                </c:pt>
                <c:pt idx="27">
                  <c:v>2.235527999504241</c:v>
                </c:pt>
                <c:pt idx="28">
                  <c:v>2.2460367739042164</c:v>
                </c:pt>
                <c:pt idx="29">
                  <c:v>2.2673035124434944</c:v>
                </c:pt>
                <c:pt idx="30">
                  <c:v>2.3108636538824094</c:v>
                </c:pt>
                <c:pt idx="31">
                  <c:v>2.3558523658237531</c:v>
                </c:pt>
                <c:pt idx="32">
                  <c:v>2.4023457030994106</c:v>
                </c:pt>
                <c:pt idx="33">
                  <c:v>2.4142135623730949</c:v>
                </c:pt>
                <c:pt idx="34">
                  <c:v>2.4504251978885145</c:v>
                </c:pt>
                <c:pt idx="35">
                  <c:v>2.4750868534162964</c:v>
                </c:pt>
                <c:pt idx="36">
                  <c:v>2.487578138595838</c:v>
                </c:pt>
                <c:pt idx="37">
                  <c:v>2.5386478956643073</c:v>
                </c:pt>
                <c:pt idx="38">
                  <c:v>2.5648673684392538</c:v>
                </c:pt>
                <c:pt idx="39">
                  <c:v>2.5915605743770067</c:v>
                </c:pt>
                <c:pt idx="40">
                  <c:v>2.6187411380417962</c:v>
                </c:pt>
                <c:pt idx="41">
                  <c:v>2.6464232102866316</c:v>
                </c:pt>
                <c:pt idx="42">
                  <c:v>2.674621493926824</c:v>
                </c:pt>
                <c:pt idx="43">
                  <c:v>2.7033512709311784</c:v>
                </c:pt>
                <c:pt idx="44">
                  <c:v>2.732628431236507</c:v>
                </c:pt>
                <c:pt idx="45">
                  <c:v>2.7474774194546216</c:v>
                </c:pt>
                <c:pt idx="46">
                  <c:v>2.7776068539149761</c:v>
                </c:pt>
                <c:pt idx="47">
                  <c:v>2.7776068539149761</c:v>
                </c:pt>
                <c:pt idx="48">
                  <c:v>2.8239128856008011</c:v>
                </c:pt>
                <c:pt idx="49">
                  <c:v>2.8878276986243812</c:v>
                </c:pt>
                <c:pt idx="50">
                  <c:v>2.9042108776758222</c:v>
                </c:pt>
                <c:pt idx="51">
                  <c:v>2.9207609892988149</c:v>
                </c:pt>
                <c:pt idx="52">
                  <c:v>2.9207609892988149</c:v>
                </c:pt>
                <c:pt idx="53">
                  <c:v>2.9207609892988149</c:v>
                </c:pt>
                <c:pt idx="54">
                  <c:v>2.9374807003226771</c:v>
                </c:pt>
                <c:pt idx="55">
                  <c:v>2.9886849627428935</c:v>
                </c:pt>
                <c:pt idx="56">
                  <c:v>3.0061109034953661</c:v>
                </c:pt>
                <c:pt idx="57">
                  <c:v>3.0595038470010789</c:v>
                </c:pt>
                <c:pt idx="58">
                  <c:v>3.0776835371752527</c:v>
                </c:pt>
                <c:pt idx="59">
                  <c:v>3.0776835371752527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35-4F1C-9215-960E31D970BA}"/>
            </c:ext>
          </c:extLst>
        </c:ser>
        <c:ser>
          <c:idx val="1"/>
          <c:order val="1"/>
          <c:tx>
            <c:v>3~0A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磁滯曲線實驗1!$F$4:$F$64</c:f>
              <c:numCache>
                <c:formatCode>0.00</c:formatCode>
                <c:ptCount val="61"/>
                <c:pt idx="0">
                  <c:v>3</c:v>
                </c:pt>
                <c:pt idx="1">
                  <c:v>2.95</c:v>
                </c:pt>
                <c:pt idx="2">
                  <c:v>2.9000000000000004</c:v>
                </c:pt>
                <c:pt idx="3">
                  <c:v>2.8500000000000005</c:v>
                </c:pt>
                <c:pt idx="4">
                  <c:v>2.8000000000000007</c:v>
                </c:pt>
                <c:pt idx="5">
                  <c:v>2.7500000000000009</c:v>
                </c:pt>
                <c:pt idx="6">
                  <c:v>2.7000000000000011</c:v>
                </c:pt>
                <c:pt idx="7">
                  <c:v>2.6500000000000012</c:v>
                </c:pt>
                <c:pt idx="8">
                  <c:v>2.6000000000000014</c:v>
                </c:pt>
                <c:pt idx="9">
                  <c:v>2.5500000000000016</c:v>
                </c:pt>
                <c:pt idx="10">
                  <c:v>2.5000000000000018</c:v>
                </c:pt>
                <c:pt idx="11">
                  <c:v>2.450000000000002</c:v>
                </c:pt>
                <c:pt idx="12">
                  <c:v>2.4000000000000021</c:v>
                </c:pt>
                <c:pt idx="13">
                  <c:v>2.3500000000000023</c:v>
                </c:pt>
                <c:pt idx="14">
                  <c:v>2.3000000000000025</c:v>
                </c:pt>
                <c:pt idx="15">
                  <c:v>2.2500000000000027</c:v>
                </c:pt>
                <c:pt idx="16">
                  <c:v>2.2000000000000028</c:v>
                </c:pt>
                <c:pt idx="17">
                  <c:v>2.150000000000003</c:v>
                </c:pt>
                <c:pt idx="18">
                  <c:v>2.1000000000000032</c:v>
                </c:pt>
                <c:pt idx="19">
                  <c:v>2.0500000000000034</c:v>
                </c:pt>
                <c:pt idx="20">
                  <c:v>2.0000000000000036</c:v>
                </c:pt>
                <c:pt idx="21">
                  <c:v>1.9500000000000035</c:v>
                </c:pt>
                <c:pt idx="22">
                  <c:v>1.9000000000000035</c:v>
                </c:pt>
                <c:pt idx="23">
                  <c:v>1.8500000000000034</c:v>
                </c:pt>
                <c:pt idx="24">
                  <c:v>1.8000000000000034</c:v>
                </c:pt>
                <c:pt idx="25">
                  <c:v>1.7500000000000033</c:v>
                </c:pt>
                <c:pt idx="26">
                  <c:v>1.7000000000000033</c:v>
                </c:pt>
                <c:pt idx="27">
                  <c:v>1.6500000000000032</c:v>
                </c:pt>
                <c:pt idx="28">
                  <c:v>1.6000000000000032</c:v>
                </c:pt>
                <c:pt idx="29">
                  <c:v>1.5500000000000032</c:v>
                </c:pt>
                <c:pt idx="30">
                  <c:v>1.5000000000000031</c:v>
                </c:pt>
                <c:pt idx="31">
                  <c:v>1.4500000000000031</c:v>
                </c:pt>
                <c:pt idx="32">
                  <c:v>1.400000000000003</c:v>
                </c:pt>
                <c:pt idx="33">
                  <c:v>1.350000000000003</c:v>
                </c:pt>
                <c:pt idx="34">
                  <c:v>1.3000000000000029</c:v>
                </c:pt>
                <c:pt idx="35">
                  <c:v>1.2500000000000029</c:v>
                </c:pt>
                <c:pt idx="36">
                  <c:v>1.2000000000000028</c:v>
                </c:pt>
                <c:pt idx="37">
                  <c:v>1.1500000000000028</c:v>
                </c:pt>
                <c:pt idx="38">
                  <c:v>1.1000000000000028</c:v>
                </c:pt>
                <c:pt idx="39">
                  <c:v>1.0500000000000027</c:v>
                </c:pt>
                <c:pt idx="40">
                  <c:v>1.0000000000000027</c:v>
                </c:pt>
                <c:pt idx="41">
                  <c:v>0.95000000000000262</c:v>
                </c:pt>
                <c:pt idx="42">
                  <c:v>0.90000000000000258</c:v>
                </c:pt>
                <c:pt idx="43">
                  <c:v>0.85000000000000253</c:v>
                </c:pt>
                <c:pt idx="44">
                  <c:v>0.80000000000000249</c:v>
                </c:pt>
                <c:pt idx="45">
                  <c:v>0.75000000000000244</c:v>
                </c:pt>
                <c:pt idx="46">
                  <c:v>0.7000000000000024</c:v>
                </c:pt>
                <c:pt idx="47">
                  <c:v>0.65000000000000235</c:v>
                </c:pt>
                <c:pt idx="48">
                  <c:v>0.60000000000000231</c:v>
                </c:pt>
                <c:pt idx="49">
                  <c:v>0.55000000000000226</c:v>
                </c:pt>
                <c:pt idx="50">
                  <c:v>0.50000000000000222</c:v>
                </c:pt>
                <c:pt idx="51">
                  <c:v>0.45000000000000223</c:v>
                </c:pt>
                <c:pt idx="52">
                  <c:v>0.40000000000000224</c:v>
                </c:pt>
                <c:pt idx="53">
                  <c:v>0.35000000000000225</c:v>
                </c:pt>
                <c:pt idx="54">
                  <c:v>0.30000000000000226</c:v>
                </c:pt>
                <c:pt idx="55">
                  <c:v>0.25000000000000228</c:v>
                </c:pt>
                <c:pt idx="56">
                  <c:v>0.20000000000000229</c:v>
                </c:pt>
                <c:pt idx="57">
                  <c:v>0.1500000000000023</c:v>
                </c:pt>
                <c:pt idx="58">
                  <c:v>0.1000000000000023</c:v>
                </c:pt>
                <c:pt idx="59">
                  <c:v>5.0000000000002293E-2</c:v>
                </c:pt>
                <c:pt idx="60">
                  <c:v>2.2898349882893854E-15</c:v>
                </c:pt>
              </c:numCache>
            </c:numRef>
          </c:xVal>
          <c:yVal>
            <c:numRef>
              <c:f>磁滯曲線實驗1!$H$4:$H$64</c:f>
              <c:numCache>
                <c:formatCode>0.00</c:formatCode>
                <c:ptCount val="61"/>
                <c:pt idx="0">
                  <c:v>3.0776835371752527</c:v>
                </c:pt>
                <c:pt idx="1">
                  <c:v>3.0776835371752527</c:v>
                </c:pt>
                <c:pt idx="2">
                  <c:v>3.0776835371752527</c:v>
                </c:pt>
                <c:pt idx="3">
                  <c:v>3.0776835371752527</c:v>
                </c:pt>
                <c:pt idx="4">
                  <c:v>3.0776835371752527</c:v>
                </c:pt>
                <c:pt idx="5">
                  <c:v>3.0776835371752527</c:v>
                </c:pt>
                <c:pt idx="6">
                  <c:v>3.0595038470010789</c:v>
                </c:pt>
                <c:pt idx="7">
                  <c:v>3.0237206646151473</c:v>
                </c:pt>
                <c:pt idx="8">
                  <c:v>2.9886849627428935</c:v>
                </c:pt>
                <c:pt idx="9">
                  <c:v>2.9714398745574448</c:v>
                </c:pt>
                <c:pt idx="10">
                  <c:v>2.9207609892988149</c:v>
                </c:pt>
                <c:pt idx="11">
                  <c:v>2.9207609892988149</c:v>
                </c:pt>
                <c:pt idx="12">
                  <c:v>2.9042108776758222</c:v>
                </c:pt>
                <c:pt idx="13">
                  <c:v>2.8878276986243812</c:v>
                </c:pt>
                <c:pt idx="14">
                  <c:v>2.8878276986243812</c:v>
                </c:pt>
                <c:pt idx="15">
                  <c:v>2.8716088408569065</c:v>
                </c:pt>
                <c:pt idx="16">
                  <c:v>2.8239128856008011</c:v>
                </c:pt>
                <c:pt idx="17">
                  <c:v>2.8083262614888418</c:v>
                </c:pt>
                <c:pt idx="18">
                  <c:v>2.7776068539149761</c:v>
                </c:pt>
                <c:pt idx="19">
                  <c:v>2.7624695032996955</c:v>
                </c:pt>
                <c:pt idx="20">
                  <c:v>2.7474774194546216</c:v>
                </c:pt>
                <c:pt idx="21">
                  <c:v>2.7474774194546216</c:v>
                </c:pt>
                <c:pt idx="22">
                  <c:v>2.732628431236507</c:v>
                </c:pt>
                <c:pt idx="23">
                  <c:v>2.732628431236507</c:v>
                </c:pt>
                <c:pt idx="24">
                  <c:v>2.7179204104784178</c:v>
                </c:pt>
                <c:pt idx="25">
                  <c:v>2.7033512709311784</c:v>
                </c:pt>
                <c:pt idx="26">
                  <c:v>2.674621493926824</c:v>
                </c:pt>
                <c:pt idx="27">
                  <c:v>2.632518579913357</c:v>
                </c:pt>
                <c:pt idx="28">
                  <c:v>2.6050890646938005</c:v>
                </c:pt>
                <c:pt idx="29">
                  <c:v>2.5781539152714794</c:v>
                </c:pt>
                <c:pt idx="30">
                  <c:v>2.5386478956643073</c:v>
                </c:pt>
                <c:pt idx="31">
                  <c:v>2.5386478956643073</c:v>
                </c:pt>
                <c:pt idx="32">
                  <c:v>2.5257116894473057</c:v>
                </c:pt>
                <c:pt idx="33">
                  <c:v>2.487578138595838</c:v>
                </c:pt>
                <c:pt idx="34">
                  <c:v>2.4750868534162964</c:v>
                </c:pt>
                <c:pt idx="35">
                  <c:v>2.4750868534162964</c:v>
                </c:pt>
                <c:pt idx="36">
                  <c:v>2.4504251978885145</c:v>
                </c:pt>
                <c:pt idx="37">
                  <c:v>2.4142135623730949</c:v>
                </c:pt>
                <c:pt idx="38">
                  <c:v>2.3673315539529405</c:v>
                </c:pt>
                <c:pt idx="39">
                  <c:v>2.3558523658237531</c:v>
                </c:pt>
                <c:pt idx="40">
                  <c:v>2.3444671900649543</c:v>
                </c:pt>
                <c:pt idx="41">
                  <c:v>2.2998425472362567</c:v>
                </c:pt>
                <c:pt idx="42">
                  <c:v>2.2566282629757084</c:v>
                </c:pt>
                <c:pt idx="43">
                  <c:v>2.235527999504241</c:v>
                </c:pt>
                <c:pt idx="44">
                  <c:v>2.2251009113208058</c:v>
                </c:pt>
                <c:pt idx="45">
                  <c:v>2.1543155843129504</c:v>
                </c:pt>
                <c:pt idx="46">
                  <c:v>2.1445069205095586</c:v>
                </c:pt>
                <c:pt idx="47">
                  <c:v>2.1347714081041396</c:v>
                </c:pt>
                <c:pt idx="48">
                  <c:v>2.0965435990881738</c:v>
                </c:pt>
                <c:pt idx="49">
                  <c:v>2.0594187178508694</c:v>
                </c:pt>
                <c:pt idx="50">
                  <c:v>2.0412539671217025</c:v>
                </c:pt>
                <c:pt idx="51">
                  <c:v>1.971107678634481</c:v>
                </c:pt>
                <c:pt idx="52">
                  <c:v>1.9541713461737753</c:v>
                </c:pt>
                <c:pt idx="53">
                  <c:v>1.9209821269711662</c:v>
                </c:pt>
                <c:pt idx="54">
                  <c:v>1.8728335763716106</c:v>
                </c:pt>
                <c:pt idx="55">
                  <c:v>1.8189932472810668</c:v>
                </c:pt>
                <c:pt idx="56">
                  <c:v>1.7674940162428909</c:v>
                </c:pt>
                <c:pt idx="57">
                  <c:v>1.7250905244220645</c:v>
                </c:pt>
                <c:pt idx="58">
                  <c:v>1.6642794823505183</c:v>
                </c:pt>
                <c:pt idx="59">
                  <c:v>1.65771894425306</c:v>
                </c:pt>
                <c:pt idx="60">
                  <c:v>1.5223545068961313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35-4F1C-9215-960E31D970BA}"/>
            </c:ext>
          </c:extLst>
        </c:ser>
        <c:ser>
          <c:idx val="2"/>
          <c:order val="2"/>
          <c:tx>
            <c:v>-0.05~-3A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磁滯曲線實驗1!$J$4:$J$63</c:f>
              <c:numCache>
                <c:formatCode>0.00</c:formatCode>
                <c:ptCount val="60"/>
                <c:pt idx="0">
                  <c:v>-0.05</c:v>
                </c:pt>
                <c:pt idx="1">
                  <c:v>-0.1</c:v>
                </c:pt>
                <c:pt idx="2">
                  <c:v>-0.15000000000000002</c:v>
                </c:pt>
                <c:pt idx="3">
                  <c:v>-0.2</c:v>
                </c:pt>
                <c:pt idx="4">
                  <c:v>-0.25</c:v>
                </c:pt>
                <c:pt idx="5">
                  <c:v>-0.3</c:v>
                </c:pt>
                <c:pt idx="6">
                  <c:v>-0.35</c:v>
                </c:pt>
                <c:pt idx="7">
                  <c:v>-0.39999999999999997</c:v>
                </c:pt>
                <c:pt idx="8">
                  <c:v>-0.44999999999999996</c:v>
                </c:pt>
                <c:pt idx="9">
                  <c:v>-0.49999999999999994</c:v>
                </c:pt>
                <c:pt idx="10">
                  <c:v>-0.54999999999999993</c:v>
                </c:pt>
                <c:pt idx="11">
                  <c:v>-0.6</c:v>
                </c:pt>
                <c:pt idx="12">
                  <c:v>-0.65</c:v>
                </c:pt>
                <c:pt idx="13">
                  <c:v>-0.70000000000000007</c:v>
                </c:pt>
                <c:pt idx="14">
                  <c:v>-0.75000000000000011</c:v>
                </c:pt>
                <c:pt idx="15">
                  <c:v>-0.80000000000000016</c:v>
                </c:pt>
                <c:pt idx="16">
                  <c:v>-0.8500000000000002</c:v>
                </c:pt>
                <c:pt idx="17">
                  <c:v>-0.90000000000000024</c:v>
                </c:pt>
                <c:pt idx="18">
                  <c:v>-0.95000000000000029</c:v>
                </c:pt>
                <c:pt idx="19">
                  <c:v>-1.0000000000000002</c:v>
                </c:pt>
                <c:pt idx="20">
                  <c:v>-1.0500000000000003</c:v>
                </c:pt>
                <c:pt idx="21">
                  <c:v>-1.1000000000000003</c:v>
                </c:pt>
                <c:pt idx="22">
                  <c:v>-1.1500000000000004</c:v>
                </c:pt>
                <c:pt idx="23">
                  <c:v>-1.2000000000000004</c:v>
                </c:pt>
                <c:pt idx="24">
                  <c:v>-1.2500000000000004</c:v>
                </c:pt>
                <c:pt idx="25">
                  <c:v>-1.3000000000000005</c:v>
                </c:pt>
                <c:pt idx="26">
                  <c:v>-1.3500000000000005</c:v>
                </c:pt>
                <c:pt idx="27">
                  <c:v>-1.4000000000000006</c:v>
                </c:pt>
                <c:pt idx="28">
                  <c:v>-1.4500000000000006</c:v>
                </c:pt>
                <c:pt idx="29">
                  <c:v>-1.5000000000000007</c:v>
                </c:pt>
                <c:pt idx="30">
                  <c:v>-1.5500000000000007</c:v>
                </c:pt>
                <c:pt idx="31">
                  <c:v>-1.6000000000000008</c:v>
                </c:pt>
                <c:pt idx="32">
                  <c:v>-1.6500000000000008</c:v>
                </c:pt>
                <c:pt idx="33">
                  <c:v>-1.7000000000000008</c:v>
                </c:pt>
                <c:pt idx="34">
                  <c:v>-1.7500000000000009</c:v>
                </c:pt>
                <c:pt idx="35">
                  <c:v>-1.8000000000000009</c:v>
                </c:pt>
                <c:pt idx="36">
                  <c:v>-1.850000000000001</c:v>
                </c:pt>
                <c:pt idx="37">
                  <c:v>-1.900000000000001</c:v>
                </c:pt>
                <c:pt idx="38">
                  <c:v>-1.9500000000000011</c:v>
                </c:pt>
                <c:pt idx="39">
                  <c:v>-2.0000000000000009</c:v>
                </c:pt>
                <c:pt idx="40">
                  <c:v>-2.0500000000000007</c:v>
                </c:pt>
                <c:pt idx="41">
                  <c:v>-2.1000000000000005</c:v>
                </c:pt>
                <c:pt idx="42">
                  <c:v>-2.1500000000000004</c:v>
                </c:pt>
                <c:pt idx="43">
                  <c:v>-2.2000000000000002</c:v>
                </c:pt>
                <c:pt idx="44">
                  <c:v>-2.25</c:v>
                </c:pt>
                <c:pt idx="45">
                  <c:v>-2.2999999999999998</c:v>
                </c:pt>
                <c:pt idx="46">
                  <c:v>-2.3499999999999996</c:v>
                </c:pt>
                <c:pt idx="47">
                  <c:v>-2.3999999999999995</c:v>
                </c:pt>
                <c:pt idx="48">
                  <c:v>-2.4499999999999993</c:v>
                </c:pt>
                <c:pt idx="49">
                  <c:v>-2.4999999999999991</c:v>
                </c:pt>
                <c:pt idx="50">
                  <c:v>-2.5499999999999989</c:v>
                </c:pt>
                <c:pt idx="51">
                  <c:v>-2.5999999999999988</c:v>
                </c:pt>
                <c:pt idx="52">
                  <c:v>-2.6499999999999986</c:v>
                </c:pt>
                <c:pt idx="53">
                  <c:v>-2.6999999999999984</c:v>
                </c:pt>
                <c:pt idx="54">
                  <c:v>-2.7499999999999982</c:v>
                </c:pt>
                <c:pt idx="55">
                  <c:v>-2.799999999999998</c:v>
                </c:pt>
                <c:pt idx="56">
                  <c:v>-2.8499999999999979</c:v>
                </c:pt>
                <c:pt idx="57">
                  <c:v>-2.8999999999999977</c:v>
                </c:pt>
                <c:pt idx="58">
                  <c:v>-2.9499999999999975</c:v>
                </c:pt>
                <c:pt idx="59">
                  <c:v>-2.9999999999999973</c:v>
                </c:pt>
              </c:numCache>
            </c:numRef>
          </c:xVal>
          <c:yVal>
            <c:numRef>
              <c:f>磁滯曲線實驗1!$L$4:$L$63</c:f>
              <c:numCache>
                <c:formatCode>0.00</c:formatCode>
                <c:ptCount val="60"/>
                <c:pt idx="0">
                  <c:v>1.4228560774318706</c:v>
                </c:pt>
                <c:pt idx="1">
                  <c:v>1.3270448216204098</c:v>
                </c:pt>
                <c:pt idx="2">
                  <c:v>1.110612514829193</c:v>
                </c:pt>
                <c:pt idx="3">
                  <c:v>0.87852146605618853</c:v>
                </c:pt>
                <c:pt idx="4">
                  <c:v>0.43066803963508488</c:v>
                </c:pt>
                <c:pt idx="5">
                  <c:v>0.36397023426620234</c:v>
                </c:pt>
                <c:pt idx="6">
                  <c:v>0.22903057419739234</c:v>
                </c:pt>
                <c:pt idx="7">
                  <c:v>4.7158802877480477E-2</c:v>
                </c:pt>
                <c:pt idx="8">
                  <c:v>-0.22535973299684531</c:v>
                </c:pt>
                <c:pt idx="9">
                  <c:v>-0.28485749335322091</c:v>
                </c:pt>
                <c:pt idx="10">
                  <c:v>-0.4410525518580839</c:v>
                </c:pt>
                <c:pt idx="11">
                  <c:v>-0.58904501642055096</c:v>
                </c:pt>
                <c:pt idx="12">
                  <c:v>-0.66691709637442997</c:v>
                </c:pt>
                <c:pt idx="13">
                  <c:v>-0.80402064259702355</c:v>
                </c:pt>
                <c:pt idx="14">
                  <c:v>-0.89410319115975068</c:v>
                </c:pt>
                <c:pt idx="15">
                  <c:v>-0.95896552196289875</c:v>
                </c:pt>
                <c:pt idx="16">
                  <c:v>-1.0355303137905696</c:v>
                </c:pt>
                <c:pt idx="17">
                  <c:v>-1.0723687100246826</c:v>
                </c:pt>
                <c:pt idx="18">
                  <c:v>-1.110612514829193</c:v>
                </c:pt>
                <c:pt idx="19">
                  <c:v>-1.1503684072210094</c:v>
                </c:pt>
                <c:pt idx="20">
                  <c:v>-1.1503684072210094</c:v>
                </c:pt>
                <c:pt idx="21">
                  <c:v>-1.19175359259421</c:v>
                </c:pt>
                <c:pt idx="22">
                  <c:v>-1.2348971565350515</c:v>
                </c:pt>
                <c:pt idx="23">
                  <c:v>-1.2571722989189547</c:v>
                </c:pt>
                <c:pt idx="24">
                  <c:v>-1.2799416321930788</c:v>
                </c:pt>
                <c:pt idx="25">
                  <c:v>-1.3032253728412058</c:v>
                </c:pt>
                <c:pt idx="26">
                  <c:v>-1.3270448216204098</c:v>
                </c:pt>
                <c:pt idx="27">
                  <c:v>-1.3416029233398288</c:v>
                </c:pt>
                <c:pt idx="28">
                  <c:v>-1.3514224379458082</c:v>
                </c:pt>
                <c:pt idx="29">
                  <c:v>-1.3613350362962873</c:v>
                </c:pt>
                <c:pt idx="30">
                  <c:v>-1.3763819204711734</c:v>
                </c:pt>
                <c:pt idx="31">
                  <c:v>-1.3763819204711734</c:v>
                </c:pt>
                <c:pt idx="32">
                  <c:v>-1.3916472583051487</c:v>
                </c:pt>
                <c:pt idx="33">
                  <c:v>-1.4123506477064602</c:v>
                </c:pt>
                <c:pt idx="34">
                  <c:v>-1.4281480067421144</c:v>
                </c:pt>
                <c:pt idx="35">
                  <c:v>-1.4334663832052836</c:v>
                </c:pt>
                <c:pt idx="36">
                  <c:v>-1.4441834058530139</c:v>
                </c:pt>
                <c:pt idx="37">
                  <c:v>-1.4441834058530139</c:v>
                </c:pt>
                <c:pt idx="38">
                  <c:v>-1.4550090286724449</c:v>
                </c:pt>
                <c:pt idx="39">
                  <c:v>-1.465945178671378</c:v>
                </c:pt>
                <c:pt idx="40">
                  <c:v>-1.4714553158199688</c:v>
                </c:pt>
                <c:pt idx="41">
                  <c:v>-1.4825609685127403</c:v>
                </c:pt>
                <c:pt idx="42">
                  <c:v>-1.4881569945342035</c:v>
                </c:pt>
                <c:pt idx="43">
                  <c:v>-1.4994367447413071</c:v>
                </c:pt>
                <c:pt idx="44">
                  <c:v>-1.4994367447413071</c:v>
                </c:pt>
                <c:pt idx="45">
                  <c:v>-1.4994367447413071</c:v>
                </c:pt>
                <c:pt idx="46">
                  <c:v>-1.5051209976895348</c:v>
                </c:pt>
                <c:pt idx="47">
                  <c:v>-1.5051209976895348</c:v>
                </c:pt>
                <c:pt idx="48">
                  <c:v>-1.5108351936149012</c:v>
                </c:pt>
                <c:pt idx="49">
                  <c:v>-1.5165796048277802</c:v>
                </c:pt>
                <c:pt idx="50">
                  <c:v>-1.5223545068961313</c:v>
                </c:pt>
                <c:pt idx="51">
                  <c:v>-1.5281601786945904</c:v>
                </c:pt>
                <c:pt idx="52">
                  <c:v>-1.5398649638145829</c:v>
                </c:pt>
                <c:pt idx="53">
                  <c:v>-1.5457646518731962</c:v>
                </c:pt>
                <c:pt idx="54">
                  <c:v>-1.5457646518731962</c:v>
                </c:pt>
                <c:pt idx="55">
                  <c:v>-1.5457646518731962</c:v>
                </c:pt>
                <c:pt idx="56">
                  <c:v>-1.5576600820932467</c:v>
                </c:pt>
                <c:pt idx="57">
                  <c:v>-1.5696855771174902</c:v>
                </c:pt>
                <c:pt idx="58">
                  <c:v>-1.5696855771174902</c:v>
                </c:pt>
                <c:pt idx="59">
                  <c:v>-1.5696855771174902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35-4F1C-9215-960E31D970BA}"/>
            </c:ext>
          </c:extLst>
        </c:ser>
        <c:ser>
          <c:idx val="3"/>
          <c:order val="3"/>
          <c:tx>
            <c:v>-3~0A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磁滯曲線實驗1!$N$4:$N$64</c:f>
              <c:numCache>
                <c:formatCode>0.00</c:formatCode>
                <c:ptCount val="61"/>
                <c:pt idx="0">
                  <c:v>-3</c:v>
                </c:pt>
                <c:pt idx="1">
                  <c:v>-2.95</c:v>
                </c:pt>
                <c:pt idx="2">
                  <c:v>-2.9000000000000004</c:v>
                </c:pt>
                <c:pt idx="3">
                  <c:v>-2.8500000000000005</c:v>
                </c:pt>
                <c:pt idx="4">
                  <c:v>-2.8000000000000007</c:v>
                </c:pt>
                <c:pt idx="5">
                  <c:v>-2.7500000000000009</c:v>
                </c:pt>
                <c:pt idx="6">
                  <c:v>-2.7000000000000011</c:v>
                </c:pt>
                <c:pt idx="7">
                  <c:v>-2.6500000000000012</c:v>
                </c:pt>
                <c:pt idx="8">
                  <c:v>-2.6000000000000014</c:v>
                </c:pt>
                <c:pt idx="9">
                  <c:v>-2.5500000000000016</c:v>
                </c:pt>
                <c:pt idx="10">
                  <c:v>-2.5000000000000018</c:v>
                </c:pt>
                <c:pt idx="11">
                  <c:v>-2.450000000000002</c:v>
                </c:pt>
                <c:pt idx="12">
                  <c:v>-2.4000000000000021</c:v>
                </c:pt>
                <c:pt idx="13">
                  <c:v>-2.3500000000000023</c:v>
                </c:pt>
                <c:pt idx="14">
                  <c:v>-2.3000000000000025</c:v>
                </c:pt>
                <c:pt idx="15">
                  <c:v>-2.2500000000000027</c:v>
                </c:pt>
                <c:pt idx="16">
                  <c:v>-2.2000000000000028</c:v>
                </c:pt>
                <c:pt idx="17">
                  <c:v>-2.150000000000003</c:v>
                </c:pt>
                <c:pt idx="18">
                  <c:v>-2.1000000000000032</c:v>
                </c:pt>
                <c:pt idx="19">
                  <c:v>-2.0500000000000034</c:v>
                </c:pt>
                <c:pt idx="20">
                  <c:v>-2.0000000000000036</c:v>
                </c:pt>
                <c:pt idx="21">
                  <c:v>-1.9500000000000035</c:v>
                </c:pt>
                <c:pt idx="22">
                  <c:v>-1.9000000000000035</c:v>
                </c:pt>
                <c:pt idx="23">
                  <c:v>-1.8500000000000034</c:v>
                </c:pt>
                <c:pt idx="24">
                  <c:v>-1.8000000000000034</c:v>
                </c:pt>
                <c:pt idx="25">
                  <c:v>-1.7500000000000033</c:v>
                </c:pt>
                <c:pt idx="26">
                  <c:v>-1.7000000000000033</c:v>
                </c:pt>
                <c:pt idx="27">
                  <c:v>-1.6500000000000032</c:v>
                </c:pt>
                <c:pt idx="28">
                  <c:v>-1.6000000000000032</c:v>
                </c:pt>
                <c:pt idx="29">
                  <c:v>-1.5500000000000032</c:v>
                </c:pt>
                <c:pt idx="30">
                  <c:v>-1.5000000000000031</c:v>
                </c:pt>
                <c:pt idx="31">
                  <c:v>-1.4500000000000031</c:v>
                </c:pt>
                <c:pt idx="32">
                  <c:v>-1.400000000000003</c:v>
                </c:pt>
                <c:pt idx="33">
                  <c:v>-1.350000000000003</c:v>
                </c:pt>
                <c:pt idx="34">
                  <c:v>-1.3000000000000029</c:v>
                </c:pt>
                <c:pt idx="35">
                  <c:v>-1.2500000000000029</c:v>
                </c:pt>
                <c:pt idx="36">
                  <c:v>-1.2000000000000028</c:v>
                </c:pt>
                <c:pt idx="37">
                  <c:v>-1.1500000000000028</c:v>
                </c:pt>
                <c:pt idx="38">
                  <c:v>-1.1000000000000028</c:v>
                </c:pt>
                <c:pt idx="39">
                  <c:v>-1.0500000000000027</c:v>
                </c:pt>
                <c:pt idx="40">
                  <c:v>-1.0000000000000027</c:v>
                </c:pt>
                <c:pt idx="41">
                  <c:v>-0.95000000000000262</c:v>
                </c:pt>
                <c:pt idx="42">
                  <c:v>-0.90000000000000258</c:v>
                </c:pt>
                <c:pt idx="43">
                  <c:v>-0.85000000000000253</c:v>
                </c:pt>
                <c:pt idx="44">
                  <c:v>-0.80000000000000249</c:v>
                </c:pt>
                <c:pt idx="45">
                  <c:v>-0.75000000000000244</c:v>
                </c:pt>
                <c:pt idx="46">
                  <c:v>-0.7000000000000024</c:v>
                </c:pt>
                <c:pt idx="47">
                  <c:v>-0.65000000000000235</c:v>
                </c:pt>
                <c:pt idx="48">
                  <c:v>-0.60000000000000231</c:v>
                </c:pt>
                <c:pt idx="49">
                  <c:v>-0.55000000000000226</c:v>
                </c:pt>
                <c:pt idx="50">
                  <c:v>-0.50000000000000222</c:v>
                </c:pt>
                <c:pt idx="51">
                  <c:v>-0.45000000000000223</c:v>
                </c:pt>
                <c:pt idx="52">
                  <c:v>-0.40000000000000224</c:v>
                </c:pt>
                <c:pt idx="53">
                  <c:v>-0.35000000000000225</c:v>
                </c:pt>
                <c:pt idx="54">
                  <c:v>-0.30000000000000226</c:v>
                </c:pt>
                <c:pt idx="55">
                  <c:v>-0.25000000000000228</c:v>
                </c:pt>
                <c:pt idx="56">
                  <c:v>-0.20000000000000229</c:v>
                </c:pt>
                <c:pt idx="57">
                  <c:v>-0.1500000000000023</c:v>
                </c:pt>
                <c:pt idx="58">
                  <c:v>-0.1000000000000023</c:v>
                </c:pt>
                <c:pt idx="59">
                  <c:v>-5.0000000000002293E-2</c:v>
                </c:pt>
                <c:pt idx="60">
                  <c:v>-2.2898349882893854E-15</c:v>
                </c:pt>
              </c:numCache>
            </c:numRef>
          </c:xVal>
          <c:yVal>
            <c:numRef>
              <c:f>磁滯曲線實驗1!$P$4:$P$64</c:f>
              <c:numCache>
                <c:formatCode>0.00</c:formatCode>
                <c:ptCount val="61"/>
                <c:pt idx="0">
                  <c:v>-1.5696855771174902</c:v>
                </c:pt>
                <c:pt idx="1">
                  <c:v>-1.5576600820932467</c:v>
                </c:pt>
                <c:pt idx="2">
                  <c:v>-1.5576600820932467</c:v>
                </c:pt>
                <c:pt idx="3">
                  <c:v>-1.5516962592406676</c:v>
                </c:pt>
                <c:pt idx="4">
                  <c:v>-1.5516962592406676</c:v>
                </c:pt>
                <c:pt idx="5">
                  <c:v>-1.5457646518731962</c:v>
                </c:pt>
                <c:pt idx="6">
                  <c:v>-1.5457646518731962</c:v>
                </c:pt>
                <c:pt idx="7">
                  <c:v>-1.5457646518731962</c:v>
                </c:pt>
                <c:pt idx="8">
                  <c:v>-1.5457646518731962</c:v>
                </c:pt>
                <c:pt idx="9">
                  <c:v>-1.5457646518731962</c:v>
                </c:pt>
                <c:pt idx="10">
                  <c:v>-1.5457646518731962</c:v>
                </c:pt>
                <c:pt idx="11">
                  <c:v>-1.5457646518731962</c:v>
                </c:pt>
                <c:pt idx="12">
                  <c:v>-1.5457646518731962</c:v>
                </c:pt>
                <c:pt idx="13">
                  <c:v>-1.5457646518731962</c:v>
                </c:pt>
                <c:pt idx="14">
                  <c:v>-1.5457646518731962</c:v>
                </c:pt>
                <c:pt idx="15">
                  <c:v>-1.5457646518731962</c:v>
                </c:pt>
                <c:pt idx="16">
                  <c:v>-1.5457646518731962</c:v>
                </c:pt>
                <c:pt idx="17">
                  <c:v>-1.5457646518731962</c:v>
                </c:pt>
                <c:pt idx="18">
                  <c:v>-1.5457646518731962</c:v>
                </c:pt>
                <c:pt idx="19">
                  <c:v>-1.5457646518731962</c:v>
                </c:pt>
                <c:pt idx="20">
                  <c:v>-1.5457646518731962</c:v>
                </c:pt>
                <c:pt idx="21">
                  <c:v>-1.5457646518731962</c:v>
                </c:pt>
                <c:pt idx="22">
                  <c:v>-1.5457646518731962</c:v>
                </c:pt>
                <c:pt idx="23">
                  <c:v>-1.5457646518731962</c:v>
                </c:pt>
                <c:pt idx="24">
                  <c:v>-1.5457646518731962</c:v>
                </c:pt>
                <c:pt idx="25">
                  <c:v>-1.5457646518731962</c:v>
                </c:pt>
                <c:pt idx="26">
                  <c:v>-1.5457646518731962</c:v>
                </c:pt>
                <c:pt idx="27">
                  <c:v>-1.5457646518731962</c:v>
                </c:pt>
                <c:pt idx="28">
                  <c:v>-1.5457646518731962</c:v>
                </c:pt>
                <c:pt idx="29">
                  <c:v>-1.5398649638145829</c:v>
                </c:pt>
                <c:pt idx="30">
                  <c:v>-1.5398649638145829</c:v>
                </c:pt>
                <c:pt idx="31">
                  <c:v>-1.5398649638145829</c:v>
                </c:pt>
                <c:pt idx="32">
                  <c:v>-1.5398649638145829</c:v>
                </c:pt>
                <c:pt idx="33">
                  <c:v>-1.5398649638145829</c:v>
                </c:pt>
                <c:pt idx="34">
                  <c:v>-1.5398649638145829</c:v>
                </c:pt>
                <c:pt idx="35">
                  <c:v>-1.5398649638145829</c:v>
                </c:pt>
                <c:pt idx="36">
                  <c:v>-1.5398649638145829</c:v>
                </c:pt>
                <c:pt idx="37">
                  <c:v>-1.5339969024544566</c:v>
                </c:pt>
                <c:pt idx="38">
                  <c:v>-1.5281601786945904</c:v>
                </c:pt>
                <c:pt idx="39">
                  <c:v>-1.5281601786945904</c:v>
                </c:pt>
                <c:pt idx="40">
                  <c:v>-1.5223545068961313</c:v>
                </c:pt>
                <c:pt idx="41">
                  <c:v>-1.5108351936149012</c:v>
                </c:pt>
                <c:pt idx="42">
                  <c:v>-1.5051209976895348</c:v>
                </c:pt>
                <c:pt idx="43">
                  <c:v>-1.4994367447413071</c:v>
                </c:pt>
                <c:pt idx="44">
                  <c:v>-1.4937821656692043</c:v>
                </c:pt>
                <c:pt idx="45">
                  <c:v>-1.4881569945342035</c:v>
                </c:pt>
                <c:pt idx="46">
                  <c:v>-1.4825609685127403</c:v>
                </c:pt>
                <c:pt idx="47">
                  <c:v>-1.4769938278509929</c:v>
                </c:pt>
                <c:pt idx="48">
                  <c:v>-1.465945178671378</c:v>
                </c:pt>
                <c:pt idx="49">
                  <c:v>-1.4441834058530139</c:v>
                </c:pt>
                <c:pt idx="50">
                  <c:v>-1.4334663832052836</c:v>
                </c:pt>
                <c:pt idx="51">
                  <c:v>-1.4228560774318706</c:v>
                </c:pt>
                <c:pt idx="52">
                  <c:v>-1.4019482944763357</c:v>
                </c:pt>
                <c:pt idx="53">
                  <c:v>-1.3763819204711734</c:v>
                </c:pt>
                <c:pt idx="54">
                  <c:v>-1.3613350362962873</c:v>
                </c:pt>
                <c:pt idx="55">
                  <c:v>-1.3514224379458082</c:v>
                </c:pt>
                <c:pt idx="56">
                  <c:v>-1.322237014477377</c:v>
                </c:pt>
                <c:pt idx="57">
                  <c:v>-1.3032253728412058</c:v>
                </c:pt>
                <c:pt idx="58">
                  <c:v>-1.2799416321930788</c:v>
                </c:pt>
                <c:pt idx="59">
                  <c:v>-1.2130970040929328</c:v>
                </c:pt>
                <c:pt idx="60">
                  <c:v>-1.19175359259421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35-4F1C-9215-960E31D970BA}"/>
            </c:ext>
          </c:extLst>
        </c:ser>
        <c:ser>
          <c:idx val="4"/>
          <c:order val="4"/>
          <c:tx>
            <c:v>0.05~3A(2)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磁滯曲線實驗1!$R$4:$R$63</c:f>
              <c:numCache>
                <c:formatCode>0.00</c:formatCode>
                <c:ptCount val="60"/>
                <c:pt idx="0">
                  <c:v>0.05</c:v>
                </c:pt>
                <c:pt idx="1">
                  <c:v>0.1</c:v>
                </c:pt>
                <c:pt idx="2">
                  <c:v>0.15000000000000002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0.39999999999999997</c:v>
                </c:pt>
                <c:pt idx="8">
                  <c:v>0.44999999999999996</c:v>
                </c:pt>
                <c:pt idx="9">
                  <c:v>0.49999999999999994</c:v>
                </c:pt>
                <c:pt idx="10">
                  <c:v>0.54999999999999993</c:v>
                </c:pt>
                <c:pt idx="11">
                  <c:v>0.6</c:v>
                </c:pt>
                <c:pt idx="12">
                  <c:v>0.65</c:v>
                </c:pt>
                <c:pt idx="13">
                  <c:v>0.70000000000000007</c:v>
                </c:pt>
                <c:pt idx="14">
                  <c:v>0.75000000000000011</c:v>
                </c:pt>
                <c:pt idx="15">
                  <c:v>0.80000000000000016</c:v>
                </c:pt>
                <c:pt idx="16">
                  <c:v>0.8500000000000002</c:v>
                </c:pt>
                <c:pt idx="17">
                  <c:v>0.90000000000000024</c:v>
                </c:pt>
                <c:pt idx="18">
                  <c:v>0.95000000000000029</c:v>
                </c:pt>
                <c:pt idx="19">
                  <c:v>1.0000000000000002</c:v>
                </c:pt>
                <c:pt idx="20">
                  <c:v>1.0500000000000003</c:v>
                </c:pt>
                <c:pt idx="21">
                  <c:v>1.1000000000000003</c:v>
                </c:pt>
                <c:pt idx="22">
                  <c:v>1.1500000000000004</c:v>
                </c:pt>
                <c:pt idx="23">
                  <c:v>1.2000000000000004</c:v>
                </c:pt>
                <c:pt idx="24">
                  <c:v>1.2500000000000004</c:v>
                </c:pt>
                <c:pt idx="25">
                  <c:v>1.3000000000000005</c:v>
                </c:pt>
                <c:pt idx="26">
                  <c:v>1.3500000000000005</c:v>
                </c:pt>
                <c:pt idx="27">
                  <c:v>1.4000000000000006</c:v>
                </c:pt>
                <c:pt idx="28">
                  <c:v>1.4500000000000006</c:v>
                </c:pt>
                <c:pt idx="29">
                  <c:v>1.5000000000000007</c:v>
                </c:pt>
                <c:pt idx="30">
                  <c:v>1.5500000000000007</c:v>
                </c:pt>
                <c:pt idx="31">
                  <c:v>1.6000000000000008</c:v>
                </c:pt>
                <c:pt idx="32">
                  <c:v>1.6500000000000008</c:v>
                </c:pt>
                <c:pt idx="33">
                  <c:v>1.7000000000000008</c:v>
                </c:pt>
                <c:pt idx="34">
                  <c:v>1.7500000000000009</c:v>
                </c:pt>
                <c:pt idx="35">
                  <c:v>1.8000000000000009</c:v>
                </c:pt>
                <c:pt idx="36">
                  <c:v>1.850000000000001</c:v>
                </c:pt>
                <c:pt idx="37">
                  <c:v>1.900000000000001</c:v>
                </c:pt>
                <c:pt idx="38">
                  <c:v>1.9500000000000011</c:v>
                </c:pt>
                <c:pt idx="39">
                  <c:v>2.0000000000000009</c:v>
                </c:pt>
                <c:pt idx="40">
                  <c:v>2.0500000000000007</c:v>
                </c:pt>
                <c:pt idx="41">
                  <c:v>2.1000000000000005</c:v>
                </c:pt>
                <c:pt idx="42">
                  <c:v>2.1500000000000004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2.3499999999999996</c:v>
                </c:pt>
                <c:pt idx="47">
                  <c:v>2.3999999999999995</c:v>
                </c:pt>
                <c:pt idx="48">
                  <c:v>2.4499999999999993</c:v>
                </c:pt>
                <c:pt idx="49">
                  <c:v>2.4999999999999991</c:v>
                </c:pt>
                <c:pt idx="50">
                  <c:v>2.5499999999999989</c:v>
                </c:pt>
                <c:pt idx="51">
                  <c:v>2.5999999999999988</c:v>
                </c:pt>
                <c:pt idx="52">
                  <c:v>2.6499999999999986</c:v>
                </c:pt>
                <c:pt idx="53">
                  <c:v>2.6999999999999984</c:v>
                </c:pt>
                <c:pt idx="54">
                  <c:v>2.7499999999999982</c:v>
                </c:pt>
                <c:pt idx="55">
                  <c:v>2.799999999999998</c:v>
                </c:pt>
                <c:pt idx="56">
                  <c:v>2.8499999999999979</c:v>
                </c:pt>
                <c:pt idx="57">
                  <c:v>2.8999999999999977</c:v>
                </c:pt>
                <c:pt idx="58">
                  <c:v>2.9499999999999975</c:v>
                </c:pt>
                <c:pt idx="59">
                  <c:v>2.9999999999999973</c:v>
                </c:pt>
              </c:numCache>
            </c:numRef>
          </c:xVal>
          <c:yVal>
            <c:numRef>
              <c:f>磁滯曲線實驗1!$T$4:$T$63</c:f>
              <c:numCache>
                <c:formatCode>0.00</c:formatCode>
                <c:ptCount val="60"/>
                <c:pt idx="0">
                  <c:v>-1.1544315755668646</c:v>
                </c:pt>
                <c:pt idx="1">
                  <c:v>-1.1067219289829753</c:v>
                </c:pt>
                <c:pt idx="2">
                  <c:v>-1.0319199492804956</c:v>
                </c:pt>
                <c:pt idx="3">
                  <c:v>-0.8540806854634666</c:v>
                </c:pt>
                <c:pt idx="4">
                  <c:v>-0.67197211293758841</c:v>
                </c:pt>
                <c:pt idx="5">
                  <c:v>-0.36991123231112572</c:v>
                </c:pt>
                <c:pt idx="6">
                  <c:v>-0.27732454405983847</c:v>
                </c:pt>
                <c:pt idx="7">
                  <c:v>-3.492076949174773E-2</c:v>
                </c:pt>
                <c:pt idx="8">
                  <c:v>9.6289048197538613E-2</c:v>
                </c:pt>
                <c:pt idx="9">
                  <c:v>0.20345229942369936</c:v>
                </c:pt>
                <c:pt idx="10">
                  <c:v>0.49206100239777695</c:v>
                </c:pt>
                <c:pt idx="11">
                  <c:v>0.69760966264445146</c:v>
                </c:pt>
                <c:pt idx="12">
                  <c:v>0.91633117401742337</c:v>
                </c:pt>
                <c:pt idx="13">
                  <c:v>1.0176073929721252</c:v>
                </c:pt>
                <c:pt idx="14">
                  <c:v>1.3916472583051487</c:v>
                </c:pt>
                <c:pt idx="15">
                  <c:v>1.3916472583051487</c:v>
                </c:pt>
                <c:pt idx="16">
                  <c:v>1.4334663832052836</c:v>
                </c:pt>
                <c:pt idx="17">
                  <c:v>1.5108351936149012</c:v>
                </c:pt>
                <c:pt idx="18">
                  <c:v>1.5941365935723404</c:v>
                </c:pt>
                <c:pt idx="19">
                  <c:v>1.6642794823505183</c:v>
                </c:pt>
                <c:pt idx="20">
                  <c:v>1.7320508075688767</c:v>
                </c:pt>
                <c:pt idx="21">
                  <c:v>1.7819790417815622</c:v>
                </c:pt>
                <c:pt idx="22">
                  <c:v>1.8494613101929911</c:v>
                </c:pt>
                <c:pt idx="23">
                  <c:v>1.8886713416310679</c:v>
                </c:pt>
                <c:pt idx="24">
                  <c:v>1.9626105055051504</c:v>
                </c:pt>
                <c:pt idx="25">
                  <c:v>2.0056897082590202</c:v>
                </c:pt>
                <c:pt idx="26">
                  <c:v>2.050303841579296</c:v>
                </c:pt>
                <c:pt idx="27">
                  <c:v>2.0778465235638057</c:v>
                </c:pt>
                <c:pt idx="28">
                  <c:v>2.1347714081041396</c:v>
                </c:pt>
                <c:pt idx="29">
                  <c:v>2.1641982875347678</c:v>
                </c:pt>
                <c:pt idx="30">
                  <c:v>2.235527999504241</c:v>
                </c:pt>
                <c:pt idx="31">
                  <c:v>2.2566282629757084</c:v>
                </c:pt>
                <c:pt idx="32">
                  <c:v>2.2998425472362567</c:v>
                </c:pt>
                <c:pt idx="33">
                  <c:v>2.321974021678793</c:v>
                </c:pt>
                <c:pt idx="34">
                  <c:v>2.3558523658237531</c:v>
                </c:pt>
                <c:pt idx="35">
                  <c:v>2.390576949507667</c:v>
                </c:pt>
                <c:pt idx="36">
                  <c:v>2.4627030248940156</c:v>
                </c:pt>
                <c:pt idx="37">
                  <c:v>2.4750868534162964</c:v>
                </c:pt>
                <c:pt idx="38">
                  <c:v>2.487578138595838</c:v>
                </c:pt>
                <c:pt idx="39">
                  <c:v>2.5128890335228915</c:v>
                </c:pt>
                <c:pt idx="40">
                  <c:v>2.5257116894473057</c:v>
                </c:pt>
                <c:pt idx="41">
                  <c:v>2.5781539152714794</c:v>
                </c:pt>
                <c:pt idx="42">
                  <c:v>2.6050890646938005</c:v>
                </c:pt>
                <c:pt idx="43">
                  <c:v>2.6464232102866316</c:v>
                </c:pt>
                <c:pt idx="44">
                  <c:v>2.7033512709311784</c:v>
                </c:pt>
                <c:pt idx="45">
                  <c:v>2.7033512709311784</c:v>
                </c:pt>
                <c:pt idx="46">
                  <c:v>2.732628431236507</c:v>
                </c:pt>
                <c:pt idx="47">
                  <c:v>2.7474774194546216</c:v>
                </c:pt>
                <c:pt idx="48">
                  <c:v>2.7776068539149761</c:v>
                </c:pt>
                <c:pt idx="49">
                  <c:v>2.8083262614888418</c:v>
                </c:pt>
                <c:pt idx="50">
                  <c:v>2.8555517471886191</c:v>
                </c:pt>
                <c:pt idx="51">
                  <c:v>2.8716088408569065</c:v>
                </c:pt>
                <c:pt idx="52">
                  <c:v>2.9042108776758222</c:v>
                </c:pt>
                <c:pt idx="53">
                  <c:v>2.9042108776758222</c:v>
                </c:pt>
                <c:pt idx="54">
                  <c:v>2.9042108776758222</c:v>
                </c:pt>
                <c:pt idx="55">
                  <c:v>2.9207609892988149</c:v>
                </c:pt>
                <c:pt idx="56">
                  <c:v>2.9543727346035551</c:v>
                </c:pt>
                <c:pt idx="57">
                  <c:v>2.9886849627428935</c:v>
                </c:pt>
                <c:pt idx="58">
                  <c:v>3.0237206646151473</c:v>
                </c:pt>
                <c:pt idx="59">
                  <c:v>3.0415172791109071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635-4F1C-9215-960E31D97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431760"/>
        <c:axId val="1094432720"/>
      </c:scatterChart>
      <c:valAx>
        <c:axId val="109443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>
                    <a:latin typeface="標楷體" panose="03000509000000000000" pitchFamily="65" charset="-120"/>
                    <a:ea typeface="標楷體" panose="03000509000000000000" pitchFamily="65" charset="-120"/>
                  </a:rPr>
                  <a:t>I(A)</a:t>
                </a:r>
                <a:endParaRPr lang="zh-TW" altLang="en-US">
                  <a:latin typeface="標楷體" panose="03000509000000000000" pitchFamily="65" charset="-120"/>
                  <a:ea typeface="標楷體" panose="03000509000000000000" pitchFamily="65" charset="-12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94432720"/>
        <c:crosses val="autoZero"/>
        <c:crossBetween val="midCat"/>
      </c:valAx>
      <c:valAx>
        <c:axId val="10944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>
                    <a:latin typeface="標楷體" panose="03000509000000000000" pitchFamily="65" charset="-120"/>
                    <a:ea typeface="標楷體" panose="03000509000000000000" pitchFamily="65" charset="-120"/>
                  </a:rPr>
                  <a:t>tan</a:t>
                </a:r>
                <a:r>
                  <a:rPr lang="el-GR" altLang="zh-TW">
                    <a:ea typeface="標楷體" panose="03000509000000000000" pitchFamily="65" charset="-120"/>
                  </a:rPr>
                  <a:t>θ</a:t>
                </a:r>
                <a:endParaRPr lang="zh-TW" altLang="en-US">
                  <a:latin typeface="標楷體" panose="03000509000000000000" pitchFamily="65" charset="-120"/>
                  <a:ea typeface="標楷體" panose="03000509000000000000" pitchFamily="65" charset="-12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9443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358140</xdr:colOff>
      <xdr:row>5</xdr:row>
      <xdr:rowOff>167640</xdr:rowOff>
    </xdr:from>
    <xdr:to>
      <xdr:col>36</xdr:col>
      <xdr:colOff>138545</xdr:colOff>
      <xdr:row>27</xdr:row>
      <xdr:rowOff>249382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B7E48BE-0A72-0AD7-607B-95D50ECD3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65"/>
  <sheetViews>
    <sheetView tabSelected="1" zoomScale="40" zoomScaleNormal="40" workbookViewId="0">
      <selection activeCell="Z5" sqref="Z5"/>
    </sheetView>
  </sheetViews>
  <sheetFormatPr defaultColWidth="9.765625" defaultRowHeight="20.399999999999999" customHeight="1" x14ac:dyDescent="0.45"/>
  <cols>
    <col min="1" max="3" width="9.765625" style="1"/>
    <col min="4" max="4" width="9.765625" style="1" customWidth="1"/>
    <col min="5" max="6" width="9.765625" style="1"/>
    <col min="7" max="8" width="9.765625" style="1" customWidth="1"/>
    <col min="9" max="11" width="9.765625" style="1"/>
    <col min="12" max="12" width="9.765625" style="1" customWidth="1"/>
    <col min="13" max="19" width="9.765625" style="1"/>
    <col min="20" max="20" width="9.765625" style="1" customWidth="1"/>
    <col min="21" max="16384" width="9.765625" style="1"/>
  </cols>
  <sheetData>
    <row r="2" spans="2:20" ht="20.399999999999999" customHeight="1" thickBot="1" x14ac:dyDescent="0.5">
      <c r="B2" s="2" t="s">
        <v>11</v>
      </c>
      <c r="F2" s="2" t="s">
        <v>10</v>
      </c>
      <c r="J2" s="2" t="s">
        <v>13</v>
      </c>
      <c r="N2" s="2" t="s">
        <v>12</v>
      </c>
      <c r="R2" s="2" t="s">
        <v>18</v>
      </c>
    </row>
    <row r="3" spans="2:20" ht="20.399999999999999" customHeight="1" thickTop="1" thickBot="1" x14ac:dyDescent="0.5">
      <c r="B3" s="3" t="s">
        <v>0</v>
      </c>
      <c r="C3" s="7" t="s">
        <v>1</v>
      </c>
      <c r="D3" s="4" t="s">
        <v>3</v>
      </c>
      <c r="F3" s="3" t="s">
        <v>0</v>
      </c>
      <c r="G3" s="7" t="s">
        <v>1</v>
      </c>
      <c r="H3" s="4" t="s">
        <v>3</v>
      </c>
      <c r="J3" s="3" t="s">
        <v>0</v>
      </c>
      <c r="K3" s="7" t="s">
        <v>1</v>
      </c>
      <c r="L3" s="4" t="s">
        <v>3</v>
      </c>
      <c r="N3" s="3" t="s">
        <v>0</v>
      </c>
      <c r="O3" s="7" t="s">
        <v>9</v>
      </c>
      <c r="P3" s="4" t="s">
        <v>3</v>
      </c>
      <c r="R3" s="3" t="s">
        <v>0</v>
      </c>
      <c r="S3" s="7" t="s">
        <v>1</v>
      </c>
      <c r="T3" s="4" t="s">
        <v>2</v>
      </c>
    </row>
    <row r="4" spans="2:20" ht="20.399999999999999" customHeight="1" thickBot="1" x14ac:dyDescent="0.5">
      <c r="B4" s="5">
        <v>0.05</v>
      </c>
      <c r="C4" s="24">
        <v>1.2</v>
      </c>
      <c r="D4" s="8">
        <f t="shared" ref="D4:D63" si="0">TAN(RADIANS(C4))</f>
        <v>2.0947013909659987E-2</v>
      </c>
      <c r="F4" s="5">
        <v>3</v>
      </c>
      <c r="G4" s="24">
        <v>72</v>
      </c>
      <c r="H4" s="8">
        <f>TAN(RADIANS(G4))</f>
        <v>3.0776835371752527</v>
      </c>
      <c r="J4" s="5">
        <f>- 0.05</f>
        <v>-0.05</v>
      </c>
      <c r="K4" s="24">
        <v>54.9</v>
      </c>
      <c r="L4" s="8">
        <f t="shared" ref="L4:L63" si="1">TAN(RADIANS(K4))</f>
        <v>1.4228560774318706</v>
      </c>
      <c r="N4" s="5">
        <v>-3</v>
      </c>
      <c r="O4" s="24">
        <v>-57.5</v>
      </c>
      <c r="P4" s="8">
        <f>TAN(RADIANS(O4))</f>
        <v>-1.5696855771174902</v>
      </c>
      <c r="R4" s="5">
        <f>0.05</f>
        <v>0.05</v>
      </c>
      <c r="S4" s="24">
        <v>-49.1</v>
      </c>
      <c r="T4" s="8">
        <f t="shared" ref="T4:T63" si="2">TAN(RADIANS(S4))</f>
        <v>-1.1544315755668646</v>
      </c>
    </row>
    <row r="5" spans="2:20" ht="20.399999999999999" customHeight="1" thickBot="1" x14ac:dyDescent="0.5">
      <c r="B5" s="5">
        <f t="shared" ref="B5:B63" si="3" xml:space="preserve"> B4 + 0.05</f>
        <v>0.1</v>
      </c>
      <c r="C5" s="25">
        <v>1.5</v>
      </c>
      <c r="D5" s="8">
        <f t="shared" si="0"/>
        <v>2.6185921569186931E-2</v>
      </c>
      <c r="F5" s="5">
        <f xml:space="preserve"> F4 - 0.05</f>
        <v>2.95</v>
      </c>
      <c r="G5" s="25">
        <v>72</v>
      </c>
      <c r="H5" s="8">
        <f t="shared" ref="H5:H63" si="4">TAN(RADIANS(G5))</f>
        <v>3.0776835371752527</v>
      </c>
      <c r="J5" s="5">
        <f t="shared" ref="J5:J63" si="5" xml:space="preserve"> J4 -0.05</f>
        <v>-0.1</v>
      </c>
      <c r="K5" s="25">
        <v>53</v>
      </c>
      <c r="L5" s="8">
        <f t="shared" si="1"/>
        <v>1.3270448216204098</v>
      </c>
      <c r="N5" s="5">
        <f xml:space="preserve"> N4 +0.05</f>
        <v>-2.95</v>
      </c>
      <c r="O5" s="24">
        <v>-57.3</v>
      </c>
      <c r="P5" s="8">
        <f t="shared" ref="P5:P64" si="6">TAN(RADIANS(O5))</f>
        <v>-1.5576600820932467</v>
      </c>
      <c r="R5" s="5">
        <f t="shared" ref="R5:R63" si="7" xml:space="preserve"> R4 + 0.05</f>
        <v>0.1</v>
      </c>
      <c r="S5" s="25">
        <v>-47.9</v>
      </c>
      <c r="T5" s="8">
        <f t="shared" si="2"/>
        <v>-1.1067219289829753</v>
      </c>
    </row>
    <row r="6" spans="2:20" ht="20.399999999999999" customHeight="1" thickBot="1" x14ac:dyDescent="0.5">
      <c r="B6" s="5">
        <f t="shared" si="3"/>
        <v>0.15000000000000002</v>
      </c>
      <c r="C6" s="25">
        <v>2</v>
      </c>
      <c r="D6" s="8">
        <f t="shared" si="0"/>
        <v>3.492076949174773E-2</v>
      </c>
      <c r="F6" s="5">
        <f t="shared" ref="F6:F64" si="8" xml:space="preserve"> F5 - 0.05</f>
        <v>2.9000000000000004</v>
      </c>
      <c r="G6" s="25">
        <v>72</v>
      </c>
      <c r="H6" s="8">
        <f t="shared" si="4"/>
        <v>3.0776835371752527</v>
      </c>
      <c r="J6" s="12">
        <f t="shared" si="5"/>
        <v>-0.15000000000000002</v>
      </c>
      <c r="K6" s="25">
        <v>48</v>
      </c>
      <c r="L6" s="8">
        <f t="shared" si="1"/>
        <v>1.110612514829193</v>
      </c>
      <c r="N6" s="5">
        <f t="shared" ref="N6:N64" si="9" xml:space="preserve"> N5 +0.05</f>
        <v>-2.9000000000000004</v>
      </c>
      <c r="O6" s="24">
        <v>-57.3</v>
      </c>
      <c r="P6" s="8">
        <f t="shared" si="6"/>
        <v>-1.5576600820932467</v>
      </c>
      <c r="R6" s="5">
        <f t="shared" si="7"/>
        <v>0.15000000000000002</v>
      </c>
      <c r="S6" s="25">
        <v>-45.9</v>
      </c>
      <c r="T6" s="8">
        <f t="shared" si="2"/>
        <v>-1.0319199492804956</v>
      </c>
    </row>
    <row r="7" spans="2:20" ht="20.399999999999999" customHeight="1" thickBot="1" x14ac:dyDescent="0.5">
      <c r="B7" s="5">
        <f t="shared" si="3"/>
        <v>0.2</v>
      </c>
      <c r="C7" s="25">
        <v>2.5</v>
      </c>
      <c r="D7" s="8">
        <f t="shared" si="0"/>
        <v>4.3660942908512058E-2</v>
      </c>
      <c r="F7" s="5">
        <f t="shared" si="8"/>
        <v>2.8500000000000005</v>
      </c>
      <c r="G7" s="25">
        <v>72</v>
      </c>
      <c r="H7" s="8">
        <f>TAN(RADIANS(G7))</f>
        <v>3.0776835371752527</v>
      </c>
      <c r="J7" s="12">
        <f t="shared" si="5"/>
        <v>-0.2</v>
      </c>
      <c r="K7" s="27">
        <v>41.3</v>
      </c>
      <c r="L7" s="21">
        <f t="shared" si="1"/>
        <v>0.87852146605618853</v>
      </c>
      <c r="N7" s="5">
        <f t="shared" si="9"/>
        <v>-2.8500000000000005</v>
      </c>
      <c r="O7" s="24">
        <v>-57.2</v>
      </c>
      <c r="P7" s="8">
        <f t="shared" si="6"/>
        <v>-1.5516962592406676</v>
      </c>
      <c r="R7" s="12">
        <f t="shared" si="7"/>
        <v>0.2</v>
      </c>
      <c r="S7" s="27">
        <v>-40.5</v>
      </c>
      <c r="T7" s="21">
        <f t="shared" si="2"/>
        <v>-0.8540806854634666</v>
      </c>
    </row>
    <row r="8" spans="2:20" ht="20.399999999999999" customHeight="1" thickBot="1" x14ac:dyDescent="0.5">
      <c r="B8" s="5">
        <f t="shared" si="3"/>
        <v>0.25</v>
      </c>
      <c r="C8" s="25">
        <v>3.1</v>
      </c>
      <c r="D8" s="8">
        <f t="shared" si="0"/>
        <v>5.4158064087028765E-2</v>
      </c>
      <c r="F8" s="5">
        <f t="shared" si="8"/>
        <v>2.8000000000000007</v>
      </c>
      <c r="G8" s="25">
        <v>72</v>
      </c>
      <c r="H8" s="8">
        <f t="shared" si="4"/>
        <v>3.0776835371752527</v>
      </c>
      <c r="J8" s="12">
        <f t="shared" si="5"/>
        <v>-0.25</v>
      </c>
      <c r="K8" s="27">
        <v>23.3</v>
      </c>
      <c r="L8" s="21">
        <f t="shared" si="1"/>
        <v>0.43066803963508488</v>
      </c>
      <c r="N8" s="5">
        <f t="shared" si="9"/>
        <v>-2.8000000000000007</v>
      </c>
      <c r="O8" s="25">
        <v>-57.2</v>
      </c>
      <c r="P8" s="8">
        <f t="shared" si="6"/>
        <v>-1.5516962592406676</v>
      </c>
      <c r="R8" s="12">
        <f t="shared" si="7"/>
        <v>0.25</v>
      </c>
      <c r="S8" s="27">
        <v>-33.9</v>
      </c>
      <c r="T8" s="21">
        <f t="shared" si="2"/>
        <v>-0.67197211293758841</v>
      </c>
    </row>
    <row r="9" spans="2:20" ht="20.399999999999999" customHeight="1" thickBot="1" x14ac:dyDescent="0.5">
      <c r="B9" s="5">
        <f t="shared" si="3"/>
        <v>0.3</v>
      </c>
      <c r="C9" s="25">
        <v>4</v>
      </c>
      <c r="D9" s="8">
        <f t="shared" si="0"/>
        <v>6.9926811943510414E-2</v>
      </c>
      <c r="F9" s="5">
        <f t="shared" si="8"/>
        <v>2.7500000000000009</v>
      </c>
      <c r="G9" s="25">
        <v>72</v>
      </c>
      <c r="H9" s="8">
        <f t="shared" si="4"/>
        <v>3.0776835371752527</v>
      </c>
      <c r="J9" s="5">
        <f t="shared" si="5"/>
        <v>-0.3</v>
      </c>
      <c r="K9" s="25">
        <v>20</v>
      </c>
      <c r="L9" s="8">
        <f t="shared" si="1"/>
        <v>0.36397023426620234</v>
      </c>
      <c r="N9" s="5">
        <f t="shared" si="9"/>
        <v>-2.7500000000000009</v>
      </c>
      <c r="O9" s="25">
        <v>-57.1</v>
      </c>
      <c r="P9" s="8">
        <f t="shared" si="6"/>
        <v>-1.5457646518731962</v>
      </c>
      <c r="R9" s="5">
        <f t="shared" si="7"/>
        <v>0.3</v>
      </c>
      <c r="S9" s="25">
        <v>-20.3</v>
      </c>
      <c r="T9" s="8">
        <f t="shared" si="2"/>
        <v>-0.36991123231112572</v>
      </c>
    </row>
    <row r="10" spans="2:20" ht="20.399999999999999" customHeight="1" thickBot="1" x14ac:dyDescent="0.5">
      <c r="B10" s="5">
        <f t="shared" si="3"/>
        <v>0.35</v>
      </c>
      <c r="C10" s="25">
        <v>4.9000000000000004</v>
      </c>
      <c r="D10" s="8">
        <f t="shared" si="0"/>
        <v>8.5730241778550056E-2</v>
      </c>
      <c r="F10" s="5">
        <f t="shared" si="8"/>
        <v>2.7000000000000011</v>
      </c>
      <c r="G10" s="25">
        <v>71.900000000000006</v>
      </c>
      <c r="H10" s="8">
        <f t="shared" si="4"/>
        <v>3.0595038470010789</v>
      </c>
      <c r="J10" s="5">
        <f t="shared" si="5"/>
        <v>-0.35</v>
      </c>
      <c r="K10" s="25">
        <v>12.9</v>
      </c>
      <c r="L10" s="8">
        <f t="shared" si="1"/>
        <v>0.22903057419739234</v>
      </c>
      <c r="N10" s="5">
        <f t="shared" si="9"/>
        <v>-2.7000000000000011</v>
      </c>
      <c r="O10" s="25">
        <v>-57.1</v>
      </c>
      <c r="P10" s="8">
        <f t="shared" si="6"/>
        <v>-1.5457646518731962</v>
      </c>
      <c r="R10" s="5">
        <f t="shared" si="7"/>
        <v>0.35</v>
      </c>
      <c r="S10" s="25">
        <v>-15.5</v>
      </c>
      <c r="T10" s="8">
        <f t="shared" si="2"/>
        <v>-0.27732454405983847</v>
      </c>
    </row>
    <row r="11" spans="2:20" ht="20.399999999999999" customHeight="1" thickBot="1" x14ac:dyDescent="0.5">
      <c r="B11" s="5">
        <f t="shared" si="3"/>
        <v>0.39999999999999997</v>
      </c>
      <c r="C11" s="25">
        <v>11</v>
      </c>
      <c r="D11" s="8">
        <f t="shared" si="0"/>
        <v>0.19438030913771848</v>
      </c>
      <c r="F11" s="5">
        <f t="shared" si="8"/>
        <v>2.6500000000000012</v>
      </c>
      <c r="G11" s="25">
        <v>71.7</v>
      </c>
      <c r="H11" s="8">
        <f t="shared" si="4"/>
        <v>3.0237206646151473</v>
      </c>
      <c r="J11" s="22">
        <f t="shared" si="5"/>
        <v>-0.39999999999999997</v>
      </c>
      <c r="K11" s="25">
        <v>2.7</v>
      </c>
      <c r="L11" s="23">
        <f t="shared" si="1"/>
        <v>4.7158802877480477E-2</v>
      </c>
      <c r="N11" s="5">
        <f t="shared" si="9"/>
        <v>-2.6500000000000012</v>
      </c>
      <c r="O11" s="25">
        <v>-57.1</v>
      </c>
      <c r="P11" s="8">
        <f t="shared" si="6"/>
        <v>-1.5457646518731962</v>
      </c>
      <c r="R11" s="19">
        <f t="shared" si="7"/>
        <v>0.39999999999999997</v>
      </c>
      <c r="S11" s="25">
        <v>-2</v>
      </c>
      <c r="T11" s="20">
        <f t="shared" si="2"/>
        <v>-3.492076949174773E-2</v>
      </c>
    </row>
    <row r="12" spans="2:20" ht="20.399999999999999" customHeight="1" thickBot="1" x14ac:dyDescent="0.5">
      <c r="B12" s="5">
        <f t="shared" si="3"/>
        <v>0.44999999999999996</v>
      </c>
      <c r="C12" s="25">
        <v>23</v>
      </c>
      <c r="D12" s="8">
        <f t="shared" si="0"/>
        <v>0.42447481620960476</v>
      </c>
      <c r="F12" s="5">
        <f t="shared" si="8"/>
        <v>2.6000000000000014</v>
      </c>
      <c r="G12" s="25">
        <v>71.5</v>
      </c>
      <c r="H12" s="8">
        <f t="shared" si="4"/>
        <v>2.9886849627428935</v>
      </c>
      <c r="J12" s="22">
        <f t="shared" si="5"/>
        <v>-0.44999999999999996</v>
      </c>
      <c r="K12" s="25">
        <v>-12.7</v>
      </c>
      <c r="L12" s="23">
        <f t="shared" si="1"/>
        <v>-0.22535973299684531</v>
      </c>
      <c r="N12" s="5">
        <f t="shared" si="9"/>
        <v>-2.6000000000000014</v>
      </c>
      <c r="O12" s="25">
        <v>-57.1</v>
      </c>
      <c r="P12" s="8">
        <f t="shared" si="6"/>
        <v>-1.5457646518731962</v>
      </c>
      <c r="R12" s="19">
        <f t="shared" si="7"/>
        <v>0.44999999999999996</v>
      </c>
      <c r="S12" s="25">
        <v>5.5</v>
      </c>
      <c r="T12" s="20">
        <f t="shared" si="2"/>
        <v>9.6289048197538613E-2</v>
      </c>
    </row>
    <row r="13" spans="2:20" ht="20.399999999999999" customHeight="1" thickBot="1" x14ac:dyDescent="0.5">
      <c r="B13" s="5">
        <f t="shared" si="3"/>
        <v>0.49999999999999994</v>
      </c>
      <c r="C13" s="25">
        <v>30.5</v>
      </c>
      <c r="D13" s="8">
        <f t="shared" si="0"/>
        <v>0.58904501642055096</v>
      </c>
      <c r="F13" s="5">
        <f t="shared" si="8"/>
        <v>2.5500000000000016</v>
      </c>
      <c r="G13" s="25">
        <v>71.400000000000006</v>
      </c>
      <c r="H13" s="8">
        <f t="shared" si="4"/>
        <v>2.9714398745574448</v>
      </c>
      <c r="J13" s="5">
        <f t="shared" si="5"/>
        <v>-0.49999999999999994</v>
      </c>
      <c r="K13" s="25">
        <v>-15.9</v>
      </c>
      <c r="L13" s="8">
        <f t="shared" si="1"/>
        <v>-0.28485749335322091</v>
      </c>
      <c r="N13" s="5">
        <f t="shared" si="9"/>
        <v>-2.5500000000000016</v>
      </c>
      <c r="O13" s="25">
        <v>-57.1</v>
      </c>
      <c r="P13" s="8">
        <f t="shared" si="6"/>
        <v>-1.5457646518731962</v>
      </c>
      <c r="R13" s="5">
        <f t="shared" si="7"/>
        <v>0.49999999999999994</v>
      </c>
      <c r="S13" s="25">
        <v>11.5</v>
      </c>
      <c r="T13" s="8">
        <f t="shared" si="2"/>
        <v>0.20345229942369936</v>
      </c>
    </row>
    <row r="14" spans="2:20" ht="20.399999999999999" customHeight="1" thickBot="1" x14ac:dyDescent="0.5">
      <c r="B14" s="5">
        <f t="shared" si="3"/>
        <v>0.54999999999999993</v>
      </c>
      <c r="C14" s="25">
        <v>39.799999999999997</v>
      </c>
      <c r="D14" s="8">
        <f t="shared" si="0"/>
        <v>0.83316858923505821</v>
      </c>
      <c r="F14" s="5">
        <f t="shared" si="8"/>
        <v>2.5000000000000018</v>
      </c>
      <c r="G14" s="25">
        <v>71.099999999999994</v>
      </c>
      <c r="H14" s="8">
        <f t="shared" si="4"/>
        <v>2.9207609892988149</v>
      </c>
      <c r="J14" s="5">
        <f t="shared" si="5"/>
        <v>-0.54999999999999993</v>
      </c>
      <c r="K14" s="25">
        <v>-23.8</v>
      </c>
      <c r="L14" s="8">
        <f t="shared" si="1"/>
        <v>-0.4410525518580839</v>
      </c>
      <c r="N14" s="5">
        <f t="shared" si="9"/>
        <v>-2.5000000000000018</v>
      </c>
      <c r="O14" s="25">
        <v>-57.1</v>
      </c>
      <c r="P14" s="8">
        <f t="shared" si="6"/>
        <v>-1.5457646518731962</v>
      </c>
      <c r="R14" s="5">
        <f t="shared" si="7"/>
        <v>0.54999999999999993</v>
      </c>
      <c r="S14" s="25">
        <v>26.2</v>
      </c>
      <c r="T14" s="8">
        <f t="shared" si="2"/>
        <v>0.49206100239777695</v>
      </c>
    </row>
    <row r="15" spans="2:20" ht="20.399999999999999" customHeight="1" thickBot="1" x14ac:dyDescent="0.5">
      <c r="B15" s="5">
        <f t="shared" si="3"/>
        <v>0.6</v>
      </c>
      <c r="C15" s="25">
        <v>48</v>
      </c>
      <c r="D15" s="8">
        <f t="shared" si="0"/>
        <v>1.110612514829193</v>
      </c>
      <c r="F15" s="5">
        <f t="shared" si="8"/>
        <v>2.450000000000002</v>
      </c>
      <c r="G15" s="25">
        <v>71.099999999999994</v>
      </c>
      <c r="H15" s="8">
        <f t="shared" si="4"/>
        <v>2.9207609892988149</v>
      </c>
      <c r="J15" s="5">
        <f t="shared" si="5"/>
        <v>-0.6</v>
      </c>
      <c r="K15" s="25">
        <v>-30.5</v>
      </c>
      <c r="L15" s="8">
        <f t="shared" si="1"/>
        <v>-0.58904501642055096</v>
      </c>
      <c r="N15" s="5">
        <f t="shared" si="9"/>
        <v>-2.450000000000002</v>
      </c>
      <c r="O15" s="25">
        <v>-57.1</v>
      </c>
      <c r="P15" s="8">
        <f t="shared" si="6"/>
        <v>-1.5457646518731962</v>
      </c>
      <c r="R15" s="5">
        <f t="shared" si="7"/>
        <v>0.6</v>
      </c>
      <c r="S15" s="25">
        <v>34.9</v>
      </c>
      <c r="T15" s="8">
        <f t="shared" si="2"/>
        <v>0.69760966264445146</v>
      </c>
    </row>
    <row r="16" spans="2:20" ht="20.399999999999999" customHeight="1" thickBot="1" x14ac:dyDescent="0.5">
      <c r="B16" s="5">
        <f t="shared" si="3"/>
        <v>0.65</v>
      </c>
      <c r="C16" s="25">
        <v>52.8</v>
      </c>
      <c r="D16" s="8">
        <f t="shared" si="0"/>
        <v>1.3174513465927098</v>
      </c>
      <c r="F16" s="5">
        <f t="shared" si="8"/>
        <v>2.4000000000000021</v>
      </c>
      <c r="G16" s="25">
        <v>71</v>
      </c>
      <c r="H16" s="8">
        <f t="shared" si="4"/>
        <v>2.9042108776758222</v>
      </c>
      <c r="J16" s="5">
        <f t="shared" si="5"/>
        <v>-0.65</v>
      </c>
      <c r="K16" s="25">
        <v>-33.700000000000003</v>
      </c>
      <c r="L16" s="8">
        <f t="shared" si="1"/>
        <v>-0.66691709637442997</v>
      </c>
      <c r="N16" s="5">
        <f t="shared" si="9"/>
        <v>-2.4000000000000021</v>
      </c>
      <c r="O16" s="25">
        <v>-57.1</v>
      </c>
      <c r="P16" s="8">
        <f t="shared" si="6"/>
        <v>-1.5457646518731962</v>
      </c>
      <c r="R16" s="5">
        <f t="shared" si="7"/>
        <v>0.65</v>
      </c>
      <c r="S16" s="25">
        <v>42.5</v>
      </c>
      <c r="T16" s="8">
        <f t="shared" si="2"/>
        <v>0.91633117401742337</v>
      </c>
    </row>
    <row r="17" spans="2:20" ht="20.399999999999999" customHeight="1" thickBot="1" x14ac:dyDescent="0.5">
      <c r="B17" s="5">
        <f t="shared" si="3"/>
        <v>0.70000000000000007</v>
      </c>
      <c r="C17" s="25">
        <v>55.8</v>
      </c>
      <c r="D17" s="8">
        <f t="shared" si="0"/>
        <v>1.4714553158199688</v>
      </c>
      <c r="F17" s="5">
        <f t="shared" si="8"/>
        <v>2.3500000000000023</v>
      </c>
      <c r="G17" s="25">
        <v>70.900000000000006</v>
      </c>
      <c r="H17" s="8">
        <f t="shared" si="4"/>
        <v>2.8878276986243812</v>
      </c>
      <c r="J17" s="5">
        <f t="shared" si="5"/>
        <v>-0.70000000000000007</v>
      </c>
      <c r="K17" s="25">
        <v>-38.799999999999997</v>
      </c>
      <c r="L17" s="8">
        <f t="shared" si="1"/>
        <v>-0.80402064259702355</v>
      </c>
      <c r="N17" s="5">
        <f t="shared" si="9"/>
        <v>-2.3500000000000023</v>
      </c>
      <c r="O17" s="25">
        <v>-57.1</v>
      </c>
      <c r="P17" s="8">
        <f t="shared" si="6"/>
        <v>-1.5457646518731962</v>
      </c>
      <c r="R17" s="5">
        <f t="shared" si="7"/>
        <v>0.70000000000000007</v>
      </c>
      <c r="S17" s="25">
        <v>45.5</v>
      </c>
      <c r="T17" s="8">
        <f t="shared" si="2"/>
        <v>1.0176073929721252</v>
      </c>
    </row>
    <row r="18" spans="2:20" ht="20.399999999999999" customHeight="1" thickBot="1" x14ac:dyDescent="0.5">
      <c r="B18" s="5">
        <f t="shared" si="3"/>
        <v>0.75000000000000011</v>
      </c>
      <c r="C18" s="25">
        <v>56.9</v>
      </c>
      <c r="D18" s="8">
        <f t="shared" si="0"/>
        <v>1.5339969024544566</v>
      </c>
      <c r="F18" s="5">
        <f t="shared" si="8"/>
        <v>2.3000000000000025</v>
      </c>
      <c r="G18" s="25">
        <v>70.900000000000006</v>
      </c>
      <c r="H18" s="8">
        <f t="shared" si="4"/>
        <v>2.8878276986243812</v>
      </c>
      <c r="J18" s="5">
        <f t="shared" si="5"/>
        <v>-0.75000000000000011</v>
      </c>
      <c r="K18" s="25">
        <v>-41.8</v>
      </c>
      <c r="L18" s="8">
        <f t="shared" si="1"/>
        <v>-0.89410319115975068</v>
      </c>
      <c r="N18" s="5">
        <f t="shared" si="9"/>
        <v>-2.3000000000000025</v>
      </c>
      <c r="O18" s="25">
        <v>-57.1</v>
      </c>
      <c r="P18" s="8">
        <f t="shared" si="6"/>
        <v>-1.5457646518731962</v>
      </c>
      <c r="R18" s="5">
        <f t="shared" si="7"/>
        <v>0.75000000000000011</v>
      </c>
      <c r="S18" s="25">
        <v>54.3</v>
      </c>
      <c r="T18" s="8">
        <f t="shared" si="2"/>
        <v>1.3916472583051487</v>
      </c>
    </row>
    <row r="19" spans="2:20" ht="20.399999999999999" customHeight="1" thickBot="1" x14ac:dyDescent="0.5">
      <c r="B19" s="5">
        <f t="shared" si="3"/>
        <v>0.80000000000000016</v>
      </c>
      <c r="C19" s="25">
        <v>58.1</v>
      </c>
      <c r="D19" s="8">
        <f t="shared" si="0"/>
        <v>1.6065671845612968</v>
      </c>
      <c r="F19" s="5">
        <f t="shared" si="8"/>
        <v>2.2500000000000027</v>
      </c>
      <c r="G19" s="25">
        <v>70.8</v>
      </c>
      <c r="H19" s="8">
        <f t="shared" si="4"/>
        <v>2.8716088408569065</v>
      </c>
      <c r="J19" s="5">
        <f t="shared" si="5"/>
        <v>-0.80000000000000016</v>
      </c>
      <c r="K19" s="25">
        <v>-43.8</v>
      </c>
      <c r="L19" s="8">
        <f t="shared" si="1"/>
        <v>-0.95896552196289875</v>
      </c>
      <c r="N19" s="5">
        <f t="shared" si="9"/>
        <v>-2.2500000000000027</v>
      </c>
      <c r="O19" s="25">
        <v>-57.1</v>
      </c>
      <c r="P19" s="8">
        <f t="shared" si="6"/>
        <v>-1.5457646518731962</v>
      </c>
      <c r="R19" s="5">
        <f t="shared" si="7"/>
        <v>0.80000000000000016</v>
      </c>
      <c r="S19" s="25">
        <v>54.3</v>
      </c>
      <c r="T19" s="8">
        <f t="shared" si="2"/>
        <v>1.3916472583051487</v>
      </c>
    </row>
    <row r="20" spans="2:20" ht="20.399999999999999" customHeight="1" thickBot="1" x14ac:dyDescent="0.5">
      <c r="B20" s="5">
        <f t="shared" si="3"/>
        <v>0.8500000000000002</v>
      </c>
      <c r="C20" s="25">
        <v>59.3</v>
      </c>
      <c r="D20" s="8">
        <f t="shared" si="0"/>
        <v>1.6841919482775909</v>
      </c>
      <c r="F20" s="5">
        <f t="shared" si="8"/>
        <v>2.2000000000000028</v>
      </c>
      <c r="G20" s="25">
        <v>70.5</v>
      </c>
      <c r="H20" s="8">
        <f t="shared" si="4"/>
        <v>2.8239128856008011</v>
      </c>
      <c r="J20" s="5">
        <f t="shared" si="5"/>
        <v>-0.8500000000000002</v>
      </c>
      <c r="K20" s="25">
        <v>-46</v>
      </c>
      <c r="L20" s="8">
        <f t="shared" si="1"/>
        <v>-1.0355303137905696</v>
      </c>
      <c r="N20" s="5">
        <f t="shared" si="9"/>
        <v>-2.2000000000000028</v>
      </c>
      <c r="O20" s="25">
        <v>-57.1</v>
      </c>
      <c r="P20" s="8">
        <f t="shared" si="6"/>
        <v>-1.5457646518731962</v>
      </c>
      <c r="R20" s="5">
        <f t="shared" si="7"/>
        <v>0.8500000000000002</v>
      </c>
      <c r="S20" s="25">
        <v>55.1</v>
      </c>
      <c r="T20" s="8">
        <f t="shared" si="2"/>
        <v>1.4334663832052836</v>
      </c>
    </row>
    <row r="21" spans="2:20" ht="20.399999999999999" customHeight="1" thickBot="1" x14ac:dyDescent="0.5">
      <c r="B21" s="5">
        <f t="shared" si="3"/>
        <v>0.90000000000000024</v>
      </c>
      <c r="C21" s="25">
        <v>60.1</v>
      </c>
      <c r="D21" s="8">
        <f t="shared" si="0"/>
        <v>1.7390533002149762</v>
      </c>
      <c r="F21" s="5">
        <f t="shared" si="8"/>
        <v>2.150000000000003</v>
      </c>
      <c r="G21" s="25">
        <v>70.400000000000006</v>
      </c>
      <c r="H21" s="8">
        <f t="shared" si="4"/>
        <v>2.8083262614888418</v>
      </c>
      <c r="J21" s="5">
        <f t="shared" si="5"/>
        <v>-0.90000000000000024</v>
      </c>
      <c r="K21" s="25">
        <v>-47</v>
      </c>
      <c r="L21" s="8">
        <f t="shared" si="1"/>
        <v>-1.0723687100246826</v>
      </c>
      <c r="N21" s="5">
        <f t="shared" si="9"/>
        <v>-2.150000000000003</v>
      </c>
      <c r="O21" s="25">
        <v>-57.1</v>
      </c>
      <c r="P21" s="8">
        <f t="shared" si="6"/>
        <v>-1.5457646518731962</v>
      </c>
      <c r="R21" s="5">
        <f t="shared" si="7"/>
        <v>0.90000000000000024</v>
      </c>
      <c r="S21" s="25">
        <v>56.5</v>
      </c>
      <c r="T21" s="8">
        <f t="shared" si="2"/>
        <v>1.5108351936149012</v>
      </c>
    </row>
    <row r="22" spans="2:20" ht="20.399999999999999" customHeight="1" thickBot="1" x14ac:dyDescent="0.5">
      <c r="B22" s="5">
        <f t="shared" si="3"/>
        <v>0.95000000000000029</v>
      </c>
      <c r="C22" s="25">
        <v>62</v>
      </c>
      <c r="D22" s="8">
        <f t="shared" si="0"/>
        <v>1.8807264653463318</v>
      </c>
      <c r="F22" s="5">
        <f t="shared" si="8"/>
        <v>2.1000000000000032</v>
      </c>
      <c r="G22" s="25">
        <v>70.2</v>
      </c>
      <c r="H22" s="8">
        <f t="shared" si="4"/>
        <v>2.7776068539149761</v>
      </c>
      <c r="J22" s="5">
        <f t="shared" si="5"/>
        <v>-0.95000000000000029</v>
      </c>
      <c r="K22" s="25">
        <v>-48</v>
      </c>
      <c r="L22" s="8">
        <f t="shared" si="1"/>
        <v>-1.110612514829193</v>
      </c>
      <c r="N22" s="5">
        <f t="shared" si="9"/>
        <v>-2.1000000000000032</v>
      </c>
      <c r="O22" s="25">
        <v>-57.1</v>
      </c>
      <c r="P22" s="8">
        <f t="shared" si="6"/>
        <v>-1.5457646518731962</v>
      </c>
      <c r="R22" s="12">
        <f t="shared" si="7"/>
        <v>0.95000000000000029</v>
      </c>
      <c r="S22" s="25">
        <v>57.9</v>
      </c>
      <c r="T22" s="21">
        <f t="shared" si="2"/>
        <v>1.5941365935723404</v>
      </c>
    </row>
    <row r="23" spans="2:20" ht="20.399999999999999" customHeight="1" thickBot="1" x14ac:dyDescent="0.5">
      <c r="B23" s="5">
        <f t="shared" si="3"/>
        <v>1.0000000000000002</v>
      </c>
      <c r="C23" s="25">
        <v>62.5</v>
      </c>
      <c r="D23" s="8">
        <f t="shared" si="0"/>
        <v>1.9209821269711662</v>
      </c>
      <c r="F23" s="5">
        <f t="shared" si="8"/>
        <v>2.0500000000000034</v>
      </c>
      <c r="G23" s="25">
        <v>70.099999999999994</v>
      </c>
      <c r="H23" s="8">
        <f t="shared" si="4"/>
        <v>2.7624695032996955</v>
      </c>
      <c r="J23" s="5">
        <f t="shared" si="5"/>
        <v>-1.0000000000000002</v>
      </c>
      <c r="K23" s="25">
        <v>-49</v>
      </c>
      <c r="L23" s="8">
        <f t="shared" si="1"/>
        <v>-1.1503684072210094</v>
      </c>
      <c r="N23" s="5">
        <f t="shared" si="9"/>
        <v>-2.0500000000000034</v>
      </c>
      <c r="O23" s="25">
        <v>-57.1</v>
      </c>
      <c r="P23" s="8">
        <f t="shared" si="6"/>
        <v>-1.5457646518731962</v>
      </c>
      <c r="R23" s="12">
        <f t="shared" si="7"/>
        <v>1.0000000000000002</v>
      </c>
      <c r="S23" s="25">
        <v>59</v>
      </c>
      <c r="T23" s="21">
        <f t="shared" si="2"/>
        <v>1.6642794823505183</v>
      </c>
    </row>
    <row r="24" spans="2:20" ht="20.399999999999999" customHeight="1" thickBot="1" x14ac:dyDescent="0.5">
      <c r="B24" s="5">
        <f t="shared" si="3"/>
        <v>1.0500000000000003</v>
      </c>
      <c r="C24" s="25">
        <v>63</v>
      </c>
      <c r="D24" s="8">
        <f t="shared" si="0"/>
        <v>1.9626105055051504</v>
      </c>
      <c r="F24" s="5">
        <f t="shared" si="8"/>
        <v>2.0000000000000036</v>
      </c>
      <c r="G24" s="25">
        <v>70</v>
      </c>
      <c r="H24" s="8">
        <f t="shared" si="4"/>
        <v>2.7474774194546216</v>
      </c>
      <c r="J24" s="5">
        <f t="shared" si="5"/>
        <v>-1.0500000000000003</v>
      </c>
      <c r="K24" s="25">
        <v>-49</v>
      </c>
      <c r="L24" s="8">
        <f t="shared" si="1"/>
        <v>-1.1503684072210094</v>
      </c>
      <c r="N24" s="5">
        <f t="shared" si="9"/>
        <v>-2.0000000000000036</v>
      </c>
      <c r="O24" s="25">
        <v>-57.1</v>
      </c>
      <c r="P24" s="8">
        <f t="shared" si="6"/>
        <v>-1.5457646518731962</v>
      </c>
      <c r="R24" s="5">
        <f t="shared" si="7"/>
        <v>1.0500000000000003</v>
      </c>
      <c r="S24" s="25">
        <v>60</v>
      </c>
      <c r="T24" s="8">
        <f t="shared" si="2"/>
        <v>1.7320508075688767</v>
      </c>
    </row>
    <row r="25" spans="2:20" ht="20.399999999999999" customHeight="1" thickBot="1" x14ac:dyDescent="0.5">
      <c r="B25" s="5">
        <f t="shared" si="3"/>
        <v>1.1000000000000003</v>
      </c>
      <c r="C25" s="25">
        <v>63</v>
      </c>
      <c r="D25" s="8">
        <f t="shared" si="0"/>
        <v>1.9626105055051504</v>
      </c>
      <c r="F25" s="5">
        <f t="shared" si="8"/>
        <v>1.9500000000000035</v>
      </c>
      <c r="G25" s="25">
        <v>70</v>
      </c>
      <c r="H25" s="8">
        <f t="shared" si="4"/>
        <v>2.7474774194546216</v>
      </c>
      <c r="J25" s="5">
        <f t="shared" si="5"/>
        <v>-1.1000000000000003</v>
      </c>
      <c r="K25" s="25">
        <v>-50</v>
      </c>
      <c r="L25" s="8">
        <f t="shared" si="1"/>
        <v>-1.19175359259421</v>
      </c>
      <c r="N25" s="5">
        <f t="shared" si="9"/>
        <v>-1.9500000000000035</v>
      </c>
      <c r="O25" s="25">
        <v>-57.1</v>
      </c>
      <c r="P25" s="8">
        <f t="shared" si="6"/>
        <v>-1.5457646518731962</v>
      </c>
      <c r="R25" s="5">
        <f t="shared" si="7"/>
        <v>1.1000000000000003</v>
      </c>
      <c r="S25" s="25">
        <v>60.7</v>
      </c>
      <c r="T25" s="8">
        <f t="shared" si="2"/>
        <v>1.7819790417815622</v>
      </c>
    </row>
    <row r="26" spans="2:20" ht="20.399999999999999" customHeight="1" thickBot="1" x14ac:dyDescent="0.5">
      <c r="B26" s="5">
        <f t="shared" si="3"/>
        <v>1.1500000000000004</v>
      </c>
      <c r="C26" s="25">
        <v>63.4</v>
      </c>
      <c r="D26" s="8">
        <f t="shared" si="0"/>
        <v>1.9969538555995485</v>
      </c>
      <c r="F26" s="5">
        <f t="shared" si="8"/>
        <v>1.9000000000000035</v>
      </c>
      <c r="G26" s="25">
        <v>69.900000000000006</v>
      </c>
      <c r="H26" s="8">
        <f t="shared" si="4"/>
        <v>2.732628431236507</v>
      </c>
      <c r="J26" s="5">
        <f t="shared" si="5"/>
        <v>-1.1500000000000004</v>
      </c>
      <c r="K26" s="25">
        <v>-51</v>
      </c>
      <c r="L26" s="8">
        <f t="shared" si="1"/>
        <v>-1.2348971565350515</v>
      </c>
      <c r="N26" s="5">
        <f t="shared" si="9"/>
        <v>-1.9000000000000035</v>
      </c>
      <c r="O26" s="25">
        <v>-57.1</v>
      </c>
      <c r="P26" s="8">
        <f t="shared" si="6"/>
        <v>-1.5457646518731962</v>
      </c>
      <c r="R26" s="5">
        <f t="shared" si="7"/>
        <v>1.1500000000000004</v>
      </c>
      <c r="S26" s="25">
        <v>61.6</v>
      </c>
      <c r="T26" s="8">
        <f t="shared" si="2"/>
        <v>1.8494613101929911</v>
      </c>
    </row>
    <row r="27" spans="2:20" ht="20.399999999999999" customHeight="1" thickBot="1" x14ac:dyDescent="0.5">
      <c r="B27" s="5">
        <f t="shared" si="3"/>
        <v>1.2000000000000004</v>
      </c>
      <c r="C27" s="25">
        <v>64</v>
      </c>
      <c r="D27" s="8">
        <f t="shared" si="0"/>
        <v>2.050303841579296</v>
      </c>
      <c r="F27" s="5">
        <f t="shared" si="8"/>
        <v>1.8500000000000034</v>
      </c>
      <c r="G27" s="25">
        <v>69.900000000000006</v>
      </c>
      <c r="H27" s="8">
        <f t="shared" si="4"/>
        <v>2.732628431236507</v>
      </c>
      <c r="J27" s="5">
        <f t="shared" si="5"/>
        <v>-1.2000000000000004</v>
      </c>
      <c r="K27" s="25">
        <v>-51.5</v>
      </c>
      <c r="L27" s="8">
        <f t="shared" si="1"/>
        <v>-1.2571722989189547</v>
      </c>
      <c r="N27" s="5">
        <f t="shared" si="9"/>
        <v>-1.8500000000000034</v>
      </c>
      <c r="O27" s="25">
        <v>-57.1</v>
      </c>
      <c r="P27" s="8">
        <f t="shared" si="6"/>
        <v>-1.5457646518731962</v>
      </c>
      <c r="R27" s="5">
        <f t="shared" si="7"/>
        <v>1.2000000000000004</v>
      </c>
      <c r="S27" s="25">
        <v>62.1</v>
      </c>
      <c r="T27" s="8">
        <f t="shared" si="2"/>
        <v>1.8886713416310679</v>
      </c>
    </row>
    <row r="28" spans="2:20" ht="20.399999999999999" customHeight="1" thickBot="1" x14ac:dyDescent="0.5">
      <c r="B28" s="5">
        <f t="shared" si="3"/>
        <v>1.2500000000000004</v>
      </c>
      <c r="C28" s="25">
        <v>64.5</v>
      </c>
      <c r="D28" s="8">
        <f t="shared" si="0"/>
        <v>2.0965435990881738</v>
      </c>
      <c r="F28" s="5">
        <f t="shared" si="8"/>
        <v>1.8000000000000034</v>
      </c>
      <c r="G28" s="25">
        <v>69.8</v>
      </c>
      <c r="H28" s="8">
        <f t="shared" si="4"/>
        <v>2.7179204104784178</v>
      </c>
      <c r="J28" s="5">
        <f t="shared" si="5"/>
        <v>-1.2500000000000004</v>
      </c>
      <c r="K28" s="25">
        <v>-52</v>
      </c>
      <c r="L28" s="8">
        <f t="shared" si="1"/>
        <v>-1.2799416321930788</v>
      </c>
      <c r="N28" s="5">
        <f t="shared" si="9"/>
        <v>-1.8000000000000034</v>
      </c>
      <c r="O28" s="25">
        <v>-57.1</v>
      </c>
      <c r="P28" s="8">
        <f t="shared" si="6"/>
        <v>-1.5457646518731962</v>
      </c>
      <c r="R28" s="5">
        <f t="shared" si="7"/>
        <v>1.2500000000000004</v>
      </c>
      <c r="S28" s="25">
        <v>63</v>
      </c>
      <c r="T28" s="8">
        <f t="shared" si="2"/>
        <v>1.9626105055051504</v>
      </c>
    </row>
    <row r="29" spans="2:20" ht="20.399999999999999" customHeight="1" thickBot="1" x14ac:dyDescent="0.5">
      <c r="B29" s="5">
        <f t="shared" si="3"/>
        <v>1.3000000000000005</v>
      </c>
      <c r="C29" s="25">
        <v>64.900000000000006</v>
      </c>
      <c r="D29" s="8">
        <f t="shared" si="0"/>
        <v>2.1347714081041396</v>
      </c>
      <c r="F29" s="5">
        <f t="shared" si="8"/>
        <v>1.7500000000000033</v>
      </c>
      <c r="G29" s="25">
        <v>69.7</v>
      </c>
      <c r="H29" s="8">
        <f t="shared" si="4"/>
        <v>2.7033512709311784</v>
      </c>
      <c r="J29" s="5">
        <f t="shared" si="5"/>
        <v>-1.3000000000000005</v>
      </c>
      <c r="K29" s="25">
        <v>-52.5</v>
      </c>
      <c r="L29" s="8">
        <f t="shared" si="1"/>
        <v>-1.3032253728412058</v>
      </c>
      <c r="N29" s="5">
        <f t="shared" si="9"/>
        <v>-1.7500000000000033</v>
      </c>
      <c r="O29" s="25">
        <v>-57.1</v>
      </c>
      <c r="P29" s="8">
        <f t="shared" si="6"/>
        <v>-1.5457646518731962</v>
      </c>
      <c r="R29" s="5">
        <f t="shared" si="7"/>
        <v>1.3000000000000005</v>
      </c>
      <c r="S29" s="25">
        <v>63.5</v>
      </c>
      <c r="T29" s="8">
        <f t="shared" si="2"/>
        <v>2.0056897082590202</v>
      </c>
    </row>
    <row r="30" spans="2:20" ht="20.399999999999999" customHeight="1" thickBot="1" x14ac:dyDescent="0.5">
      <c r="B30" s="5">
        <f t="shared" si="3"/>
        <v>1.3500000000000005</v>
      </c>
      <c r="C30" s="25">
        <v>65.099999999999994</v>
      </c>
      <c r="D30" s="8">
        <f t="shared" si="0"/>
        <v>2.1543155843129504</v>
      </c>
      <c r="F30" s="5">
        <f t="shared" si="8"/>
        <v>1.7000000000000033</v>
      </c>
      <c r="G30" s="25">
        <v>69.5</v>
      </c>
      <c r="H30" s="8">
        <f t="shared" si="4"/>
        <v>2.674621493926824</v>
      </c>
      <c r="J30" s="12">
        <f t="shared" si="5"/>
        <v>-1.3500000000000005</v>
      </c>
      <c r="K30" s="25">
        <v>-53</v>
      </c>
      <c r="L30" s="21">
        <f t="shared" si="1"/>
        <v>-1.3270448216204098</v>
      </c>
      <c r="N30" s="5">
        <f t="shared" si="9"/>
        <v>-1.7000000000000033</v>
      </c>
      <c r="O30" s="25">
        <v>-57.1</v>
      </c>
      <c r="P30" s="8">
        <f t="shared" si="6"/>
        <v>-1.5457646518731962</v>
      </c>
      <c r="R30" s="5">
        <f t="shared" si="7"/>
        <v>1.3500000000000005</v>
      </c>
      <c r="S30" s="25">
        <v>64</v>
      </c>
      <c r="T30" s="8">
        <f t="shared" si="2"/>
        <v>2.050303841579296</v>
      </c>
    </row>
    <row r="31" spans="2:20" ht="20.399999999999999" customHeight="1" thickBot="1" x14ac:dyDescent="0.5">
      <c r="B31" s="5">
        <f t="shared" si="3"/>
        <v>1.4000000000000006</v>
      </c>
      <c r="C31" s="25">
        <v>65.900000000000006</v>
      </c>
      <c r="D31" s="8">
        <f t="shared" si="0"/>
        <v>2.235527999504241</v>
      </c>
      <c r="F31" s="5">
        <f t="shared" si="8"/>
        <v>1.6500000000000032</v>
      </c>
      <c r="G31" s="25">
        <v>69.2</v>
      </c>
      <c r="H31" s="8">
        <f t="shared" si="4"/>
        <v>2.632518579913357</v>
      </c>
      <c r="J31" s="12">
        <f t="shared" si="5"/>
        <v>-1.4000000000000006</v>
      </c>
      <c r="K31" s="25">
        <v>-53.3</v>
      </c>
      <c r="L31" s="21">
        <f t="shared" si="1"/>
        <v>-1.3416029233398288</v>
      </c>
      <c r="N31" s="5">
        <f t="shared" si="9"/>
        <v>-1.6500000000000032</v>
      </c>
      <c r="O31" s="25">
        <v>-57.1</v>
      </c>
      <c r="P31" s="8">
        <f t="shared" si="6"/>
        <v>-1.5457646518731962</v>
      </c>
      <c r="R31" s="5">
        <f t="shared" si="7"/>
        <v>1.4000000000000006</v>
      </c>
      <c r="S31" s="25">
        <v>64.3</v>
      </c>
      <c r="T31" s="8">
        <f t="shared" si="2"/>
        <v>2.0778465235638057</v>
      </c>
    </row>
    <row r="32" spans="2:20" ht="20.399999999999999" customHeight="1" thickBot="1" x14ac:dyDescent="0.5">
      <c r="B32" s="5">
        <f t="shared" si="3"/>
        <v>1.4500000000000006</v>
      </c>
      <c r="C32" s="25">
        <v>66</v>
      </c>
      <c r="D32" s="8">
        <f t="shared" si="0"/>
        <v>2.2460367739042164</v>
      </c>
      <c r="F32" s="5">
        <f t="shared" si="8"/>
        <v>1.6000000000000032</v>
      </c>
      <c r="G32" s="25">
        <v>69</v>
      </c>
      <c r="H32" s="8">
        <f t="shared" si="4"/>
        <v>2.6050890646938005</v>
      </c>
      <c r="J32" s="5">
        <f t="shared" si="5"/>
        <v>-1.4500000000000006</v>
      </c>
      <c r="K32" s="25">
        <v>-53.5</v>
      </c>
      <c r="L32" s="8">
        <f t="shared" si="1"/>
        <v>-1.3514224379458082</v>
      </c>
      <c r="N32" s="5">
        <f t="shared" si="9"/>
        <v>-1.6000000000000032</v>
      </c>
      <c r="O32" s="25">
        <v>-57.1</v>
      </c>
      <c r="P32" s="8">
        <f t="shared" si="6"/>
        <v>-1.5457646518731962</v>
      </c>
      <c r="R32" s="5">
        <f t="shared" si="7"/>
        <v>1.4500000000000006</v>
      </c>
      <c r="S32" s="25">
        <v>64.900000000000006</v>
      </c>
      <c r="T32" s="8">
        <f t="shared" si="2"/>
        <v>2.1347714081041396</v>
      </c>
    </row>
    <row r="33" spans="2:20" ht="20.399999999999999" customHeight="1" thickBot="1" x14ac:dyDescent="0.5">
      <c r="B33" s="5">
        <f t="shared" si="3"/>
        <v>1.5000000000000007</v>
      </c>
      <c r="C33" s="25">
        <v>66.2</v>
      </c>
      <c r="D33" s="8">
        <f t="shared" si="0"/>
        <v>2.2673035124434944</v>
      </c>
      <c r="F33" s="5">
        <f t="shared" si="8"/>
        <v>1.5500000000000032</v>
      </c>
      <c r="G33" s="25">
        <v>68.8</v>
      </c>
      <c r="H33" s="8">
        <f t="shared" si="4"/>
        <v>2.5781539152714794</v>
      </c>
      <c r="J33" s="5">
        <f t="shared" si="5"/>
        <v>-1.5000000000000007</v>
      </c>
      <c r="K33" s="25">
        <v>-53.7</v>
      </c>
      <c r="L33" s="8">
        <f t="shared" si="1"/>
        <v>-1.3613350362962873</v>
      </c>
      <c r="N33" s="5">
        <f t="shared" si="9"/>
        <v>-1.5500000000000032</v>
      </c>
      <c r="O33" s="25">
        <v>-57</v>
      </c>
      <c r="P33" s="8">
        <f t="shared" si="6"/>
        <v>-1.5398649638145829</v>
      </c>
      <c r="R33" s="5">
        <f t="shared" si="7"/>
        <v>1.5000000000000007</v>
      </c>
      <c r="S33" s="25">
        <v>65.2</v>
      </c>
      <c r="T33" s="8">
        <f t="shared" si="2"/>
        <v>2.1641982875347678</v>
      </c>
    </row>
    <row r="34" spans="2:20" ht="20.399999999999999" customHeight="1" thickBot="1" x14ac:dyDescent="0.5">
      <c r="B34" s="5">
        <f t="shared" si="3"/>
        <v>1.5500000000000007</v>
      </c>
      <c r="C34" s="25">
        <v>66.599999999999994</v>
      </c>
      <c r="D34" s="8">
        <f t="shared" si="0"/>
        <v>2.3108636538824094</v>
      </c>
      <c r="F34" s="5">
        <f t="shared" si="8"/>
        <v>1.5000000000000031</v>
      </c>
      <c r="G34" s="25">
        <v>68.5</v>
      </c>
      <c r="H34" s="8">
        <f t="shared" si="4"/>
        <v>2.5386478956643073</v>
      </c>
      <c r="J34" s="5">
        <f t="shared" si="5"/>
        <v>-1.5500000000000007</v>
      </c>
      <c r="K34" s="25">
        <v>-54</v>
      </c>
      <c r="L34" s="8">
        <f t="shared" si="1"/>
        <v>-1.3763819204711734</v>
      </c>
      <c r="N34" s="5">
        <f t="shared" si="9"/>
        <v>-1.5000000000000031</v>
      </c>
      <c r="O34" s="25">
        <v>-57</v>
      </c>
      <c r="P34" s="8">
        <f t="shared" si="6"/>
        <v>-1.5398649638145829</v>
      </c>
      <c r="R34" s="5">
        <f t="shared" si="7"/>
        <v>1.5500000000000007</v>
      </c>
      <c r="S34" s="25">
        <v>65.900000000000006</v>
      </c>
      <c r="T34" s="8">
        <f t="shared" si="2"/>
        <v>2.235527999504241</v>
      </c>
    </row>
    <row r="35" spans="2:20" ht="20.399999999999999" customHeight="1" thickBot="1" x14ac:dyDescent="0.5">
      <c r="B35" s="5">
        <f t="shared" si="3"/>
        <v>1.6000000000000008</v>
      </c>
      <c r="C35" s="25">
        <v>67</v>
      </c>
      <c r="D35" s="8">
        <f t="shared" si="0"/>
        <v>2.3558523658237531</v>
      </c>
      <c r="F35" s="5">
        <f t="shared" si="8"/>
        <v>1.4500000000000031</v>
      </c>
      <c r="G35" s="25">
        <v>68.5</v>
      </c>
      <c r="H35" s="8">
        <f t="shared" si="4"/>
        <v>2.5386478956643073</v>
      </c>
      <c r="J35" s="5">
        <f t="shared" si="5"/>
        <v>-1.6000000000000008</v>
      </c>
      <c r="K35" s="25">
        <v>-54</v>
      </c>
      <c r="L35" s="8">
        <f t="shared" si="1"/>
        <v>-1.3763819204711734</v>
      </c>
      <c r="N35" s="5">
        <f t="shared" si="9"/>
        <v>-1.4500000000000031</v>
      </c>
      <c r="O35" s="25">
        <v>-57</v>
      </c>
      <c r="P35" s="8">
        <f t="shared" si="6"/>
        <v>-1.5398649638145829</v>
      </c>
      <c r="R35" s="5">
        <f t="shared" si="7"/>
        <v>1.6000000000000008</v>
      </c>
      <c r="S35" s="25">
        <v>66.099999999999994</v>
      </c>
      <c r="T35" s="8">
        <f t="shared" si="2"/>
        <v>2.2566282629757084</v>
      </c>
    </row>
    <row r="36" spans="2:20" ht="20.399999999999999" customHeight="1" thickBot="1" x14ac:dyDescent="0.5">
      <c r="B36" s="5">
        <f t="shared" si="3"/>
        <v>1.6500000000000008</v>
      </c>
      <c r="C36" s="25">
        <v>67.400000000000006</v>
      </c>
      <c r="D36" s="8">
        <f t="shared" si="0"/>
        <v>2.4023457030994106</v>
      </c>
      <c r="F36" s="5">
        <f t="shared" si="8"/>
        <v>1.400000000000003</v>
      </c>
      <c r="G36" s="25">
        <v>68.400000000000006</v>
      </c>
      <c r="H36" s="8">
        <f t="shared" si="4"/>
        <v>2.5257116894473057</v>
      </c>
      <c r="J36" s="5">
        <f t="shared" si="5"/>
        <v>-1.6500000000000008</v>
      </c>
      <c r="K36" s="25">
        <v>-54.3</v>
      </c>
      <c r="L36" s="8">
        <f t="shared" si="1"/>
        <v>-1.3916472583051487</v>
      </c>
      <c r="N36" s="5">
        <f t="shared" si="9"/>
        <v>-1.400000000000003</v>
      </c>
      <c r="O36" s="25">
        <v>-57</v>
      </c>
      <c r="P36" s="8">
        <f t="shared" si="6"/>
        <v>-1.5398649638145829</v>
      </c>
      <c r="R36" s="5">
        <f t="shared" si="7"/>
        <v>1.6500000000000008</v>
      </c>
      <c r="S36" s="25">
        <v>66.5</v>
      </c>
      <c r="T36" s="8">
        <f t="shared" si="2"/>
        <v>2.2998425472362567</v>
      </c>
    </row>
    <row r="37" spans="2:20" ht="20.399999999999999" customHeight="1" thickBot="1" x14ac:dyDescent="0.5">
      <c r="B37" s="5">
        <f t="shared" si="3"/>
        <v>1.7000000000000008</v>
      </c>
      <c r="C37" s="25">
        <v>67.5</v>
      </c>
      <c r="D37" s="8">
        <f t="shared" si="0"/>
        <v>2.4142135623730949</v>
      </c>
      <c r="F37" s="5">
        <f t="shared" si="8"/>
        <v>1.350000000000003</v>
      </c>
      <c r="G37" s="25">
        <v>68.099999999999994</v>
      </c>
      <c r="H37" s="8">
        <f t="shared" si="4"/>
        <v>2.487578138595838</v>
      </c>
      <c r="J37" s="5">
        <f t="shared" si="5"/>
        <v>-1.7000000000000008</v>
      </c>
      <c r="K37" s="25">
        <v>-54.7</v>
      </c>
      <c r="L37" s="8">
        <f t="shared" si="1"/>
        <v>-1.4123506477064602</v>
      </c>
      <c r="N37" s="5">
        <f t="shared" si="9"/>
        <v>-1.350000000000003</v>
      </c>
      <c r="O37" s="25">
        <v>-57</v>
      </c>
      <c r="P37" s="8">
        <f t="shared" si="6"/>
        <v>-1.5398649638145829</v>
      </c>
      <c r="R37" s="5">
        <f t="shared" si="7"/>
        <v>1.7000000000000008</v>
      </c>
      <c r="S37" s="25">
        <v>66.7</v>
      </c>
      <c r="T37" s="8">
        <f t="shared" si="2"/>
        <v>2.321974021678793</v>
      </c>
    </row>
    <row r="38" spans="2:20" ht="20.399999999999999" customHeight="1" thickBot="1" x14ac:dyDescent="0.5">
      <c r="B38" s="5">
        <f t="shared" si="3"/>
        <v>1.7500000000000009</v>
      </c>
      <c r="C38" s="25">
        <v>67.8</v>
      </c>
      <c r="D38" s="8">
        <f t="shared" si="0"/>
        <v>2.4504251978885145</v>
      </c>
      <c r="F38" s="5">
        <f t="shared" si="8"/>
        <v>1.3000000000000029</v>
      </c>
      <c r="G38" s="25">
        <v>68</v>
      </c>
      <c r="H38" s="8">
        <f t="shared" si="4"/>
        <v>2.4750868534162964</v>
      </c>
      <c r="J38" s="5">
        <f t="shared" si="5"/>
        <v>-1.7500000000000009</v>
      </c>
      <c r="K38" s="25">
        <v>-55</v>
      </c>
      <c r="L38" s="8">
        <f t="shared" si="1"/>
        <v>-1.4281480067421144</v>
      </c>
      <c r="N38" s="5">
        <f t="shared" si="9"/>
        <v>-1.3000000000000029</v>
      </c>
      <c r="O38" s="25">
        <v>-57</v>
      </c>
      <c r="P38" s="8">
        <f t="shared" si="6"/>
        <v>-1.5398649638145829</v>
      </c>
      <c r="R38" s="5">
        <f t="shared" si="7"/>
        <v>1.7500000000000009</v>
      </c>
      <c r="S38" s="25">
        <v>67</v>
      </c>
      <c r="T38" s="8">
        <f t="shared" si="2"/>
        <v>2.3558523658237531</v>
      </c>
    </row>
    <row r="39" spans="2:20" ht="20.399999999999999" customHeight="1" thickBot="1" x14ac:dyDescent="0.5">
      <c r="B39" s="5">
        <f t="shared" si="3"/>
        <v>1.8000000000000009</v>
      </c>
      <c r="C39" s="25">
        <v>68</v>
      </c>
      <c r="D39" s="8">
        <f t="shared" si="0"/>
        <v>2.4750868534162964</v>
      </c>
      <c r="F39" s="5">
        <f t="shared" si="8"/>
        <v>1.2500000000000029</v>
      </c>
      <c r="G39" s="25">
        <v>68</v>
      </c>
      <c r="H39" s="8">
        <f t="shared" si="4"/>
        <v>2.4750868534162964</v>
      </c>
      <c r="J39" s="5">
        <f t="shared" si="5"/>
        <v>-1.8000000000000009</v>
      </c>
      <c r="K39" s="25">
        <v>-55.1</v>
      </c>
      <c r="L39" s="8">
        <f t="shared" si="1"/>
        <v>-1.4334663832052836</v>
      </c>
      <c r="N39" s="5">
        <f t="shared" si="9"/>
        <v>-1.2500000000000029</v>
      </c>
      <c r="O39" s="25">
        <v>-57</v>
      </c>
      <c r="P39" s="8">
        <f t="shared" si="6"/>
        <v>-1.5398649638145829</v>
      </c>
      <c r="R39" s="5">
        <f t="shared" si="7"/>
        <v>1.8000000000000009</v>
      </c>
      <c r="S39" s="25">
        <v>67.3</v>
      </c>
      <c r="T39" s="8">
        <f t="shared" si="2"/>
        <v>2.390576949507667</v>
      </c>
    </row>
    <row r="40" spans="2:20" ht="20.399999999999999" customHeight="1" thickBot="1" x14ac:dyDescent="0.5">
      <c r="B40" s="5">
        <f t="shared" si="3"/>
        <v>1.850000000000001</v>
      </c>
      <c r="C40" s="25">
        <v>68.099999999999994</v>
      </c>
      <c r="D40" s="8">
        <f t="shared" si="0"/>
        <v>2.487578138595838</v>
      </c>
      <c r="F40" s="5">
        <f t="shared" si="8"/>
        <v>1.2000000000000028</v>
      </c>
      <c r="G40" s="25">
        <v>67.8</v>
      </c>
      <c r="H40" s="8">
        <f t="shared" si="4"/>
        <v>2.4504251978885145</v>
      </c>
      <c r="J40" s="5">
        <f t="shared" si="5"/>
        <v>-1.850000000000001</v>
      </c>
      <c r="K40" s="25">
        <v>-55.3</v>
      </c>
      <c r="L40" s="8">
        <f t="shared" si="1"/>
        <v>-1.4441834058530139</v>
      </c>
      <c r="N40" s="5">
        <f t="shared" si="9"/>
        <v>-1.2000000000000028</v>
      </c>
      <c r="O40" s="25">
        <v>-57</v>
      </c>
      <c r="P40" s="8">
        <f t="shared" si="6"/>
        <v>-1.5398649638145829</v>
      </c>
      <c r="R40" s="5">
        <f t="shared" si="7"/>
        <v>1.850000000000001</v>
      </c>
      <c r="S40" s="25">
        <v>67.900000000000006</v>
      </c>
      <c r="T40" s="8">
        <f t="shared" si="2"/>
        <v>2.4627030248940156</v>
      </c>
    </row>
    <row r="41" spans="2:20" ht="20.399999999999999" customHeight="1" thickBot="1" x14ac:dyDescent="0.5">
      <c r="B41" s="5">
        <f t="shared" si="3"/>
        <v>1.900000000000001</v>
      </c>
      <c r="C41" s="25">
        <v>68.5</v>
      </c>
      <c r="D41" s="8">
        <f t="shared" si="0"/>
        <v>2.5386478956643073</v>
      </c>
      <c r="F41" s="5">
        <f t="shared" si="8"/>
        <v>1.1500000000000028</v>
      </c>
      <c r="G41" s="25">
        <v>67.5</v>
      </c>
      <c r="H41" s="8">
        <f t="shared" si="4"/>
        <v>2.4142135623730949</v>
      </c>
      <c r="J41" s="5">
        <f t="shared" si="5"/>
        <v>-1.900000000000001</v>
      </c>
      <c r="K41" s="25">
        <v>-55.3</v>
      </c>
      <c r="L41" s="8">
        <f t="shared" si="1"/>
        <v>-1.4441834058530139</v>
      </c>
      <c r="N41" s="5">
        <f t="shared" si="9"/>
        <v>-1.1500000000000028</v>
      </c>
      <c r="O41" s="25">
        <v>-56.9</v>
      </c>
      <c r="P41" s="8">
        <f t="shared" si="6"/>
        <v>-1.5339969024544566</v>
      </c>
      <c r="R41" s="5">
        <f t="shared" si="7"/>
        <v>1.900000000000001</v>
      </c>
      <c r="S41" s="25">
        <v>68</v>
      </c>
      <c r="T41" s="8">
        <f t="shared" si="2"/>
        <v>2.4750868534162964</v>
      </c>
    </row>
    <row r="42" spans="2:20" ht="20.399999999999999" customHeight="1" thickBot="1" x14ac:dyDescent="0.5">
      <c r="B42" s="5">
        <f t="shared" si="3"/>
        <v>1.9500000000000011</v>
      </c>
      <c r="C42" s="25">
        <v>68.7</v>
      </c>
      <c r="D42" s="8">
        <f t="shared" si="0"/>
        <v>2.5648673684392538</v>
      </c>
      <c r="F42" s="5">
        <f t="shared" si="8"/>
        <v>1.1000000000000028</v>
      </c>
      <c r="G42" s="25">
        <v>67.099999999999994</v>
      </c>
      <c r="H42" s="8">
        <f t="shared" si="4"/>
        <v>2.3673315539529405</v>
      </c>
      <c r="J42" s="5">
        <f t="shared" si="5"/>
        <v>-1.9500000000000011</v>
      </c>
      <c r="K42" s="25">
        <v>-55.5</v>
      </c>
      <c r="L42" s="8">
        <f t="shared" si="1"/>
        <v>-1.4550090286724449</v>
      </c>
      <c r="N42" s="5">
        <f t="shared" si="9"/>
        <v>-1.1000000000000028</v>
      </c>
      <c r="O42" s="25">
        <v>-56.8</v>
      </c>
      <c r="P42" s="8">
        <f t="shared" si="6"/>
        <v>-1.5281601786945904</v>
      </c>
      <c r="R42" s="5">
        <f t="shared" si="7"/>
        <v>1.9500000000000011</v>
      </c>
      <c r="S42" s="25">
        <v>68.099999999999994</v>
      </c>
      <c r="T42" s="8">
        <f t="shared" si="2"/>
        <v>2.487578138595838</v>
      </c>
    </row>
    <row r="43" spans="2:20" ht="20.399999999999999" customHeight="1" thickBot="1" x14ac:dyDescent="0.5">
      <c r="B43" s="5">
        <f t="shared" si="3"/>
        <v>2.0000000000000009</v>
      </c>
      <c r="C43" s="25">
        <v>68.900000000000006</v>
      </c>
      <c r="D43" s="8">
        <f t="shared" si="0"/>
        <v>2.5915605743770067</v>
      </c>
      <c r="F43" s="5">
        <f t="shared" si="8"/>
        <v>1.0500000000000027</v>
      </c>
      <c r="G43" s="25">
        <v>67</v>
      </c>
      <c r="H43" s="8">
        <f t="shared" si="4"/>
        <v>2.3558523658237531</v>
      </c>
      <c r="J43" s="5">
        <f t="shared" si="5"/>
        <v>-2.0000000000000009</v>
      </c>
      <c r="K43" s="25">
        <v>-55.7</v>
      </c>
      <c r="L43" s="8">
        <f t="shared" si="1"/>
        <v>-1.465945178671378</v>
      </c>
      <c r="N43" s="5">
        <f t="shared" si="9"/>
        <v>-1.0500000000000027</v>
      </c>
      <c r="O43" s="25">
        <v>-56.8</v>
      </c>
      <c r="P43" s="8">
        <f t="shared" si="6"/>
        <v>-1.5281601786945904</v>
      </c>
      <c r="R43" s="5">
        <f t="shared" si="7"/>
        <v>2.0000000000000009</v>
      </c>
      <c r="S43" s="25">
        <v>68.3</v>
      </c>
      <c r="T43" s="8">
        <f t="shared" si="2"/>
        <v>2.5128890335228915</v>
      </c>
    </row>
    <row r="44" spans="2:20" ht="20.399999999999999" customHeight="1" thickBot="1" x14ac:dyDescent="0.5">
      <c r="B44" s="5">
        <f t="shared" si="3"/>
        <v>2.0500000000000007</v>
      </c>
      <c r="C44" s="25">
        <v>69.099999999999994</v>
      </c>
      <c r="D44" s="8">
        <f t="shared" si="0"/>
        <v>2.6187411380417962</v>
      </c>
      <c r="F44" s="5">
        <f t="shared" si="8"/>
        <v>1.0000000000000027</v>
      </c>
      <c r="G44" s="25">
        <v>66.900000000000006</v>
      </c>
      <c r="H44" s="8">
        <f t="shared" si="4"/>
        <v>2.3444671900649543</v>
      </c>
      <c r="J44" s="5">
        <f t="shared" si="5"/>
        <v>-2.0500000000000007</v>
      </c>
      <c r="K44" s="25">
        <v>-55.8</v>
      </c>
      <c r="L44" s="8">
        <f t="shared" si="1"/>
        <v>-1.4714553158199688</v>
      </c>
      <c r="N44" s="5">
        <f t="shared" si="9"/>
        <v>-1.0000000000000027</v>
      </c>
      <c r="O44" s="25">
        <v>-56.7</v>
      </c>
      <c r="P44" s="8">
        <f t="shared" si="6"/>
        <v>-1.5223545068961313</v>
      </c>
      <c r="R44" s="5">
        <f t="shared" si="7"/>
        <v>2.0500000000000007</v>
      </c>
      <c r="S44" s="25">
        <v>68.400000000000006</v>
      </c>
      <c r="T44" s="8">
        <f t="shared" si="2"/>
        <v>2.5257116894473057</v>
      </c>
    </row>
    <row r="45" spans="2:20" ht="20.399999999999999" customHeight="1" thickBot="1" x14ac:dyDescent="0.5">
      <c r="B45" s="5">
        <f t="shared" si="3"/>
        <v>2.1000000000000005</v>
      </c>
      <c r="C45" s="25">
        <v>69.3</v>
      </c>
      <c r="D45" s="8">
        <f t="shared" si="0"/>
        <v>2.6464232102866316</v>
      </c>
      <c r="F45" s="5">
        <f t="shared" si="8"/>
        <v>0.95000000000000262</v>
      </c>
      <c r="G45" s="25">
        <v>66.5</v>
      </c>
      <c r="H45" s="8">
        <f t="shared" si="4"/>
        <v>2.2998425472362567</v>
      </c>
      <c r="J45" s="5">
        <f t="shared" si="5"/>
        <v>-2.1000000000000005</v>
      </c>
      <c r="K45" s="25">
        <v>-56</v>
      </c>
      <c r="L45" s="8">
        <f t="shared" si="1"/>
        <v>-1.4825609685127403</v>
      </c>
      <c r="N45" s="5">
        <f t="shared" si="9"/>
        <v>-0.95000000000000262</v>
      </c>
      <c r="O45" s="25">
        <v>-56.5</v>
      </c>
      <c r="P45" s="8">
        <f t="shared" si="6"/>
        <v>-1.5108351936149012</v>
      </c>
      <c r="R45" s="5">
        <f t="shared" si="7"/>
        <v>2.1000000000000005</v>
      </c>
      <c r="S45" s="25">
        <v>68.8</v>
      </c>
      <c r="T45" s="8">
        <f t="shared" si="2"/>
        <v>2.5781539152714794</v>
      </c>
    </row>
    <row r="46" spans="2:20" ht="20.399999999999999" customHeight="1" thickBot="1" x14ac:dyDescent="0.5">
      <c r="B46" s="5">
        <f t="shared" si="3"/>
        <v>2.1500000000000004</v>
      </c>
      <c r="C46" s="25">
        <v>69.5</v>
      </c>
      <c r="D46" s="8">
        <f t="shared" si="0"/>
        <v>2.674621493926824</v>
      </c>
      <c r="F46" s="5">
        <f t="shared" si="8"/>
        <v>0.90000000000000258</v>
      </c>
      <c r="G46" s="25">
        <v>66.099999999999994</v>
      </c>
      <c r="H46" s="8">
        <f t="shared" si="4"/>
        <v>2.2566282629757084</v>
      </c>
      <c r="J46" s="5">
        <f t="shared" si="5"/>
        <v>-2.1500000000000004</v>
      </c>
      <c r="K46" s="25">
        <v>-56.1</v>
      </c>
      <c r="L46" s="8">
        <f t="shared" si="1"/>
        <v>-1.4881569945342035</v>
      </c>
      <c r="N46" s="5">
        <f t="shared" si="9"/>
        <v>-0.90000000000000258</v>
      </c>
      <c r="O46" s="25">
        <v>-56.4</v>
      </c>
      <c r="P46" s="8">
        <f t="shared" si="6"/>
        <v>-1.5051209976895348</v>
      </c>
      <c r="R46" s="5">
        <f t="shared" si="7"/>
        <v>2.1500000000000004</v>
      </c>
      <c r="S46" s="25">
        <v>69</v>
      </c>
      <c r="T46" s="8">
        <f t="shared" si="2"/>
        <v>2.6050890646938005</v>
      </c>
    </row>
    <row r="47" spans="2:20" ht="20.399999999999999" customHeight="1" thickBot="1" x14ac:dyDescent="0.5">
      <c r="B47" s="5">
        <f t="shared" si="3"/>
        <v>2.2000000000000002</v>
      </c>
      <c r="C47" s="25">
        <v>69.7</v>
      </c>
      <c r="D47" s="8">
        <f t="shared" si="0"/>
        <v>2.7033512709311784</v>
      </c>
      <c r="F47" s="5">
        <f t="shared" si="8"/>
        <v>0.85000000000000253</v>
      </c>
      <c r="G47" s="25">
        <v>65.900000000000006</v>
      </c>
      <c r="H47" s="8">
        <f t="shared" si="4"/>
        <v>2.235527999504241</v>
      </c>
      <c r="J47" s="5">
        <f t="shared" si="5"/>
        <v>-2.2000000000000002</v>
      </c>
      <c r="K47" s="25">
        <v>-56.3</v>
      </c>
      <c r="L47" s="8">
        <f t="shared" si="1"/>
        <v>-1.4994367447413071</v>
      </c>
      <c r="N47" s="5">
        <f t="shared" si="9"/>
        <v>-0.85000000000000253</v>
      </c>
      <c r="O47" s="25">
        <v>-56.3</v>
      </c>
      <c r="P47" s="8">
        <f t="shared" si="6"/>
        <v>-1.4994367447413071</v>
      </c>
      <c r="R47" s="5">
        <f t="shared" si="7"/>
        <v>2.2000000000000002</v>
      </c>
      <c r="S47" s="25">
        <v>69.3</v>
      </c>
      <c r="T47" s="8">
        <f t="shared" si="2"/>
        <v>2.6464232102866316</v>
      </c>
    </row>
    <row r="48" spans="2:20" ht="20.399999999999999" customHeight="1" thickBot="1" x14ac:dyDescent="0.5">
      <c r="B48" s="5">
        <f t="shared" si="3"/>
        <v>2.25</v>
      </c>
      <c r="C48" s="25">
        <v>69.900000000000006</v>
      </c>
      <c r="D48" s="8">
        <f t="shared" si="0"/>
        <v>2.732628431236507</v>
      </c>
      <c r="F48" s="5">
        <f t="shared" si="8"/>
        <v>0.80000000000000249</v>
      </c>
      <c r="G48" s="25">
        <v>65.8</v>
      </c>
      <c r="H48" s="8">
        <f t="shared" si="4"/>
        <v>2.2251009113208058</v>
      </c>
      <c r="J48" s="5">
        <f t="shared" si="5"/>
        <v>-2.25</v>
      </c>
      <c r="K48" s="25">
        <v>-56.3</v>
      </c>
      <c r="L48" s="8">
        <f t="shared" si="1"/>
        <v>-1.4994367447413071</v>
      </c>
      <c r="N48" s="5">
        <f t="shared" si="9"/>
        <v>-0.80000000000000249</v>
      </c>
      <c r="O48" s="25">
        <v>-56.2</v>
      </c>
      <c r="P48" s="8">
        <f t="shared" si="6"/>
        <v>-1.4937821656692043</v>
      </c>
      <c r="R48" s="5">
        <f t="shared" si="7"/>
        <v>2.25</v>
      </c>
      <c r="S48" s="25">
        <v>69.7</v>
      </c>
      <c r="T48" s="8">
        <f t="shared" si="2"/>
        <v>2.7033512709311784</v>
      </c>
    </row>
    <row r="49" spans="2:20" ht="20.399999999999999" customHeight="1" thickBot="1" x14ac:dyDescent="0.5">
      <c r="B49" s="5">
        <f t="shared" si="3"/>
        <v>2.2999999999999998</v>
      </c>
      <c r="C49" s="25">
        <v>70</v>
      </c>
      <c r="D49" s="8">
        <f t="shared" si="0"/>
        <v>2.7474774194546216</v>
      </c>
      <c r="F49" s="5">
        <f t="shared" si="8"/>
        <v>0.75000000000000244</v>
      </c>
      <c r="G49" s="25">
        <v>65.099999999999994</v>
      </c>
      <c r="H49" s="8">
        <f t="shared" si="4"/>
        <v>2.1543155843129504</v>
      </c>
      <c r="J49" s="5">
        <f t="shared" si="5"/>
        <v>-2.2999999999999998</v>
      </c>
      <c r="K49" s="25">
        <v>-56.3</v>
      </c>
      <c r="L49" s="8">
        <f t="shared" si="1"/>
        <v>-1.4994367447413071</v>
      </c>
      <c r="N49" s="5">
        <f t="shared" si="9"/>
        <v>-0.75000000000000244</v>
      </c>
      <c r="O49" s="25">
        <v>-56.1</v>
      </c>
      <c r="P49" s="8">
        <f t="shared" si="6"/>
        <v>-1.4881569945342035</v>
      </c>
      <c r="R49" s="5">
        <f t="shared" si="7"/>
        <v>2.2999999999999998</v>
      </c>
      <c r="S49" s="25">
        <v>69.7</v>
      </c>
      <c r="T49" s="8">
        <f t="shared" si="2"/>
        <v>2.7033512709311784</v>
      </c>
    </row>
    <row r="50" spans="2:20" ht="20.399999999999999" customHeight="1" thickBot="1" x14ac:dyDescent="0.5">
      <c r="B50" s="5">
        <f t="shared" si="3"/>
        <v>2.3499999999999996</v>
      </c>
      <c r="C50" s="25">
        <v>70.2</v>
      </c>
      <c r="D50" s="8">
        <f t="shared" si="0"/>
        <v>2.7776068539149761</v>
      </c>
      <c r="F50" s="5">
        <f t="shared" si="8"/>
        <v>0.7000000000000024</v>
      </c>
      <c r="G50" s="25">
        <v>65</v>
      </c>
      <c r="H50" s="8">
        <f t="shared" si="4"/>
        <v>2.1445069205095586</v>
      </c>
      <c r="J50" s="5">
        <f t="shared" si="5"/>
        <v>-2.3499999999999996</v>
      </c>
      <c r="K50" s="25">
        <v>-56.4</v>
      </c>
      <c r="L50" s="8">
        <f t="shared" si="1"/>
        <v>-1.5051209976895348</v>
      </c>
      <c r="N50" s="5">
        <f t="shared" si="9"/>
        <v>-0.7000000000000024</v>
      </c>
      <c r="O50" s="25">
        <v>-56</v>
      </c>
      <c r="P50" s="8">
        <f t="shared" si="6"/>
        <v>-1.4825609685127403</v>
      </c>
      <c r="R50" s="5">
        <f t="shared" si="7"/>
        <v>2.3499999999999996</v>
      </c>
      <c r="S50" s="25">
        <v>69.900000000000006</v>
      </c>
      <c r="T50" s="8">
        <f t="shared" si="2"/>
        <v>2.732628431236507</v>
      </c>
    </row>
    <row r="51" spans="2:20" ht="20.399999999999999" customHeight="1" thickBot="1" x14ac:dyDescent="0.5">
      <c r="B51" s="5">
        <f t="shared" si="3"/>
        <v>2.3999999999999995</v>
      </c>
      <c r="C51" s="25">
        <v>70.2</v>
      </c>
      <c r="D51" s="8">
        <f t="shared" si="0"/>
        <v>2.7776068539149761</v>
      </c>
      <c r="F51" s="5">
        <f t="shared" si="8"/>
        <v>0.65000000000000235</v>
      </c>
      <c r="G51" s="25">
        <v>64.900000000000006</v>
      </c>
      <c r="H51" s="8">
        <f t="shared" si="4"/>
        <v>2.1347714081041396</v>
      </c>
      <c r="J51" s="5">
        <f t="shared" si="5"/>
        <v>-2.3999999999999995</v>
      </c>
      <c r="K51" s="25">
        <v>-56.4</v>
      </c>
      <c r="L51" s="8">
        <f t="shared" si="1"/>
        <v>-1.5051209976895348</v>
      </c>
      <c r="N51" s="5">
        <f t="shared" si="9"/>
        <v>-0.65000000000000235</v>
      </c>
      <c r="O51" s="25">
        <v>-55.9</v>
      </c>
      <c r="P51" s="8">
        <f t="shared" si="6"/>
        <v>-1.4769938278509929</v>
      </c>
      <c r="R51" s="5">
        <f t="shared" si="7"/>
        <v>2.3999999999999995</v>
      </c>
      <c r="S51" s="25">
        <v>70</v>
      </c>
      <c r="T51" s="8">
        <f t="shared" si="2"/>
        <v>2.7474774194546216</v>
      </c>
    </row>
    <row r="52" spans="2:20" ht="20.399999999999999" customHeight="1" thickBot="1" x14ac:dyDescent="0.5">
      <c r="B52" s="5">
        <f t="shared" si="3"/>
        <v>2.4499999999999993</v>
      </c>
      <c r="C52" s="25">
        <v>70.5</v>
      </c>
      <c r="D52" s="8">
        <f t="shared" si="0"/>
        <v>2.8239128856008011</v>
      </c>
      <c r="F52" s="5">
        <f t="shared" si="8"/>
        <v>0.60000000000000231</v>
      </c>
      <c r="G52" s="25">
        <v>64.5</v>
      </c>
      <c r="H52" s="8">
        <f t="shared" si="4"/>
        <v>2.0965435990881738</v>
      </c>
      <c r="J52" s="5">
        <f t="shared" si="5"/>
        <v>-2.4499999999999993</v>
      </c>
      <c r="K52" s="25">
        <v>-56.5</v>
      </c>
      <c r="L52" s="8">
        <f t="shared" si="1"/>
        <v>-1.5108351936149012</v>
      </c>
      <c r="N52" s="5">
        <f t="shared" si="9"/>
        <v>-0.60000000000000231</v>
      </c>
      <c r="O52" s="25">
        <v>-55.7</v>
      </c>
      <c r="P52" s="8">
        <f t="shared" si="6"/>
        <v>-1.465945178671378</v>
      </c>
      <c r="R52" s="5">
        <f t="shared" si="7"/>
        <v>2.4499999999999993</v>
      </c>
      <c r="S52" s="25">
        <v>70.2</v>
      </c>
      <c r="T52" s="8">
        <f t="shared" si="2"/>
        <v>2.7776068539149761</v>
      </c>
    </row>
    <row r="53" spans="2:20" ht="20.399999999999999" customHeight="1" thickBot="1" x14ac:dyDescent="0.5">
      <c r="B53" s="5">
        <f t="shared" si="3"/>
        <v>2.4999999999999991</v>
      </c>
      <c r="C53" s="25">
        <v>70.900000000000006</v>
      </c>
      <c r="D53" s="8">
        <f t="shared" si="0"/>
        <v>2.8878276986243812</v>
      </c>
      <c r="F53" s="5">
        <f t="shared" si="8"/>
        <v>0.55000000000000226</v>
      </c>
      <c r="G53" s="25">
        <v>64.099999999999994</v>
      </c>
      <c r="H53" s="8">
        <f t="shared" si="4"/>
        <v>2.0594187178508694</v>
      </c>
      <c r="J53" s="5">
        <f t="shared" si="5"/>
        <v>-2.4999999999999991</v>
      </c>
      <c r="K53" s="25">
        <v>-56.6</v>
      </c>
      <c r="L53" s="8">
        <f t="shared" si="1"/>
        <v>-1.5165796048277802</v>
      </c>
      <c r="N53" s="5">
        <f t="shared" si="9"/>
        <v>-0.55000000000000226</v>
      </c>
      <c r="O53" s="25">
        <v>-55.3</v>
      </c>
      <c r="P53" s="8">
        <f t="shared" si="6"/>
        <v>-1.4441834058530139</v>
      </c>
      <c r="R53" s="5">
        <f t="shared" si="7"/>
        <v>2.4999999999999991</v>
      </c>
      <c r="S53" s="25">
        <v>70.400000000000006</v>
      </c>
      <c r="T53" s="8">
        <f t="shared" si="2"/>
        <v>2.8083262614888418</v>
      </c>
    </row>
    <row r="54" spans="2:20" ht="20.399999999999999" customHeight="1" thickBot="1" x14ac:dyDescent="0.5">
      <c r="B54" s="5">
        <f t="shared" si="3"/>
        <v>2.5499999999999989</v>
      </c>
      <c r="C54" s="25">
        <v>71</v>
      </c>
      <c r="D54" s="8">
        <f t="shared" si="0"/>
        <v>2.9042108776758222</v>
      </c>
      <c r="F54" s="5">
        <f t="shared" si="8"/>
        <v>0.50000000000000222</v>
      </c>
      <c r="G54" s="25">
        <v>63.9</v>
      </c>
      <c r="H54" s="8">
        <f t="shared" si="4"/>
        <v>2.0412539671217025</v>
      </c>
      <c r="J54" s="5">
        <f t="shared" si="5"/>
        <v>-2.5499999999999989</v>
      </c>
      <c r="K54" s="25">
        <v>-56.7</v>
      </c>
      <c r="L54" s="8">
        <f t="shared" si="1"/>
        <v>-1.5223545068961313</v>
      </c>
      <c r="N54" s="5">
        <f t="shared" si="9"/>
        <v>-0.50000000000000222</v>
      </c>
      <c r="O54" s="25">
        <v>-55.1</v>
      </c>
      <c r="P54" s="8">
        <f t="shared" si="6"/>
        <v>-1.4334663832052836</v>
      </c>
      <c r="R54" s="5">
        <f t="shared" si="7"/>
        <v>2.5499999999999989</v>
      </c>
      <c r="S54" s="25">
        <v>70.7</v>
      </c>
      <c r="T54" s="8">
        <f t="shared" si="2"/>
        <v>2.8555517471886191</v>
      </c>
    </row>
    <row r="55" spans="2:20" ht="20.399999999999999" customHeight="1" thickBot="1" x14ac:dyDescent="0.5">
      <c r="B55" s="5">
        <f t="shared" si="3"/>
        <v>2.5999999999999988</v>
      </c>
      <c r="C55" s="25">
        <v>71.099999999999994</v>
      </c>
      <c r="D55" s="8">
        <f t="shared" si="0"/>
        <v>2.9207609892988149</v>
      </c>
      <c r="F55" s="5">
        <f t="shared" si="8"/>
        <v>0.45000000000000223</v>
      </c>
      <c r="G55" s="25">
        <v>63.1</v>
      </c>
      <c r="H55" s="8">
        <f t="shared" si="4"/>
        <v>1.971107678634481</v>
      </c>
      <c r="J55" s="5">
        <f t="shared" si="5"/>
        <v>-2.5999999999999988</v>
      </c>
      <c r="K55" s="25">
        <v>-56.8</v>
      </c>
      <c r="L55" s="8">
        <f t="shared" si="1"/>
        <v>-1.5281601786945904</v>
      </c>
      <c r="N55" s="5">
        <f t="shared" si="9"/>
        <v>-0.45000000000000223</v>
      </c>
      <c r="O55" s="25">
        <v>-54.9</v>
      </c>
      <c r="P55" s="8">
        <f t="shared" si="6"/>
        <v>-1.4228560774318706</v>
      </c>
      <c r="R55" s="5">
        <f t="shared" si="7"/>
        <v>2.5999999999999988</v>
      </c>
      <c r="S55" s="25">
        <v>70.8</v>
      </c>
      <c r="T55" s="8">
        <f t="shared" si="2"/>
        <v>2.8716088408569065</v>
      </c>
    </row>
    <row r="56" spans="2:20" ht="20.399999999999999" customHeight="1" thickBot="1" x14ac:dyDescent="0.5">
      <c r="B56" s="5">
        <f t="shared" si="3"/>
        <v>2.6499999999999986</v>
      </c>
      <c r="C56" s="25">
        <v>71.099999999999994</v>
      </c>
      <c r="D56" s="8">
        <f t="shared" si="0"/>
        <v>2.9207609892988149</v>
      </c>
      <c r="F56" s="5">
        <f t="shared" si="8"/>
        <v>0.40000000000000224</v>
      </c>
      <c r="G56" s="25">
        <v>62.9</v>
      </c>
      <c r="H56" s="8">
        <f t="shared" si="4"/>
        <v>1.9541713461737753</v>
      </c>
      <c r="J56" s="5">
        <f t="shared" si="5"/>
        <v>-2.6499999999999986</v>
      </c>
      <c r="K56" s="25">
        <v>-57</v>
      </c>
      <c r="L56" s="8">
        <f t="shared" si="1"/>
        <v>-1.5398649638145829</v>
      </c>
      <c r="N56" s="5">
        <f t="shared" si="9"/>
        <v>-0.40000000000000224</v>
      </c>
      <c r="O56" s="25">
        <v>-54.5</v>
      </c>
      <c r="P56" s="8">
        <f t="shared" si="6"/>
        <v>-1.4019482944763357</v>
      </c>
      <c r="R56" s="5">
        <f t="shared" si="7"/>
        <v>2.6499999999999986</v>
      </c>
      <c r="S56" s="25">
        <v>71</v>
      </c>
      <c r="T56" s="8">
        <f t="shared" si="2"/>
        <v>2.9042108776758222</v>
      </c>
    </row>
    <row r="57" spans="2:20" ht="20.399999999999999" customHeight="1" thickBot="1" x14ac:dyDescent="0.5">
      <c r="B57" s="5">
        <f t="shared" si="3"/>
        <v>2.6999999999999984</v>
      </c>
      <c r="C57" s="25">
        <v>71.099999999999994</v>
      </c>
      <c r="D57" s="8">
        <f t="shared" si="0"/>
        <v>2.9207609892988149</v>
      </c>
      <c r="F57" s="5">
        <f t="shared" si="8"/>
        <v>0.35000000000000225</v>
      </c>
      <c r="G57" s="25">
        <v>62.5</v>
      </c>
      <c r="H57" s="8">
        <f t="shared" si="4"/>
        <v>1.9209821269711662</v>
      </c>
      <c r="J57" s="5">
        <f t="shared" si="5"/>
        <v>-2.6999999999999984</v>
      </c>
      <c r="K57" s="25">
        <v>-57.1</v>
      </c>
      <c r="L57" s="8">
        <f t="shared" si="1"/>
        <v>-1.5457646518731962</v>
      </c>
      <c r="N57" s="5">
        <f t="shared" si="9"/>
        <v>-0.35000000000000225</v>
      </c>
      <c r="O57" s="25">
        <v>-54</v>
      </c>
      <c r="P57" s="8">
        <f t="shared" si="6"/>
        <v>-1.3763819204711734</v>
      </c>
      <c r="R57" s="5">
        <f t="shared" si="7"/>
        <v>2.6999999999999984</v>
      </c>
      <c r="S57" s="25">
        <v>71</v>
      </c>
      <c r="T57" s="8">
        <f t="shared" si="2"/>
        <v>2.9042108776758222</v>
      </c>
    </row>
    <row r="58" spans="2:20" ht="20.399999999999999" customHeight="1" thickBot="1" x14ac:dyDescent="0.5">
      <c r="B58" s="5">
        <f t="shared" si="3"/>
        <v>2.7499999999999982</v>
      </c>
      <c r="C58" s="25">
        <v>71.2</v>
      </c>
      <c r="D58" s="8">
        <f t="shared" si="0"/>
        <v>2.9374807003226771</v>
      </c>
      <c r="F58" s="5">
        <f t="shared" si="8"/>
        <v>0.30000000000000226</v>
      </c>
      <c r="G58" s="25">
        <v>61.9</v>
      </c>
      <c r="H58" s="8">
        <f t="shared" si="4"/>
        <v>1.8728335763716106</v>
      </c>
      <c r="J58" s="5">
        <f t="shared" si="5"/>
        <v>-2.7499999999999982</v>
      </c>
      <c r="K58" s="25">
        <v>-57.1</v>
      </c>
      <c r="L58" s="8">
        <f t="shared" si="1"/>
        <v>-1.5457646518731962</v>
      </c>
      <c r="N58" s="5">
        <f t="shared" si="9"/>
        <v>-0.30000000000000226</v>
      </c>
      <c r="O58" s="25">
        <v>-53.7</v>
      </c>
      <c r="P58" s="8">
        <f t="shared" si="6"/>
        <v>-1.3613350362962873</v>
      </c>
      <c r="R58" s="5">
        <f t="shared" si="7"/>
        <v>2.7499999999999982</v>
      </c>
      <c r="S58" s="25">
        <v>71</v>
      </c>
      <c r="T58" s="8">
        <f t="shared" si="2"/>
        <v>2.9042108776758222</v>
      </c>
    </row>
    <row r="59" spans="2:20" ht="20.399999999999999" customHeight="1" thickBot="1" x14ac:dyDescent="0.5">
      <c r="B59" s="5">
        <f t="shared" si="3"/>
        <v>2.799999999999998</v>
      </c>
      <c r="C59" s="25">
        <v>71.5</v>
      </c>
      <c r="D59" s="8">
        <f t="shared" si="0"/>
        <v>2.9886849627428935</v>
      </c>
      <c r="F59" s="5">
        <f t="shared" si="8"/>
        <v>0.25000000000000228</v>
      </c>
      <c r="G59" s="25">
        <v>61.2</v>
      </c>
      <c r="H59" s="8">
        <f t="shared" si="4"/>
        <v>1.8189932472810668</v>
      </c>
      <c r="J59" s="5">
        <f t="shared" si="5"/>
        <v>-2.799999999999998</v>
      </c>
      <c r="K59" s="25">
        <v>-57.1</v>
      </c>
      <c r="L59" s="8">
        <f t="shared" si="1"/>
        <v>-1.5457646518731962</v>
      </c>
      <c r="N59" s="5">
        <f t="shared" si="9"/>
        <v>-0.25000000000000228</v>
      </c>
      <c r="O59" s="25">
        <v>-53.5</v>
      </c>
      <c r="P59" s="8">
        <f t="shared" si="6"/>
        <v>-1.3514224379458082</v>
      </c>
      <c r="R59" s="5">
        <f t="shared" si="7"/>
        <v>2.799999999999998</v>
      </c>
      <c r="S59" s="25">
        <v>71.099999999999994</v>
      </c>
      <c r="T59" s="8">
        <f t="shared" si="2"/>
        <v>2.9207609892988149</v>
      </c>
    </row>
    <row r="60" spans="2:20" ht="20.399999999999999" customHeight="1" thickBot="1" x14ac:dyDescent="0.5">
      <c r="B60" s="5">
        <f t="shared" si="3"/>
        <v>2.8499999999999979</v>
      </c>
      <c r="C60" s="25">
        <v>71.599999999999994</v>
      </c>
      <c r="D60" s="8">
        <f t="shared" si="0"/>
        <v>3.0061109034953661</v>
      </c>
      <c r="F60" s="5">
        <f t="shared" si="8"/>
        <v>0.20000000000000229</v>
      </c>
      <c r="G60" s="25">
        <v>60.5</v>
      </c>
      <c r="H60" s="8">
        <f t="shared" si="4"/>
        <v>1.7674940162428909</v>
      </c>
      <c r="J60" s="5">
        <f t="shared" si="5"/>
        <v>-2.8499999999999979</v>
      </c>
      <c r="K60" s="25">
        <v>-57.3</v>
      </c>
      <c r="L60" s="8">
        <f t="shared" si="1"/>
        <v>-1.5576600820932467</v>
      </c>
      <c r="N60" s="5">
        <f t="shared" si="9"/>
        <v>-0.20000000000000229</v>
      </c>
      <c r="O60" s="25">
        <v>-52.9</v>
      </c>
      <c r="P60" s="8">
        <f t="shared" si="6"/>
        <v>-1.322237014477377</v>
      </c>
      <c r="R60" s="5">
        <f t="shared" si="7"/>
        <v>2.8499999999999979</v>
      </c>
      <c r="S60" s="25">
        <v>71.3</v>
      </c>
      <c r="T60" s="8">
        <f t="shared" si="2"/>
        <v>2.9543727346035551</v>
      </c>
    </row>
    <row r="61" spans="2:20" ht="20.399999999999999" customHeight="1" thickBot="1" x14ac:dyDescent="0.5">
      <c r="B61" s="5">
        <f t="shared" si="3"/>
        <v>2.8999999999999977</v>
      </c>
      <c r="C61" s="25">
        <v>71.900000000000006</v>
      </c>
      <c r="D61" s="8">
        <f t="shared" si="0"/>
        <v>3.0595038470010789</v>
      </c>
      <c r="F61" s="5">
        <f t="shared" si="8"/>
        <v>0.1500000000000023</v>
      </c>
      <c r="G61" s="25">
        <v>59.9</v>
      </c>
      <c r="H61" s="8">
        <f t="shared" si="4"/>
        <v>1.7250905244220645</v>
      </c>
      <c r="J61" s="5">
        <f t="shared" si="5"/>
        <v>-2.8999999999999977</v>
      </c>
      <c r="K61" s="25">
        <v>-57.5</v>
      </c>
      <c r="L61" s="8">
        <f t="shared" si="1"/>
        <v>-1.5696855771174902</v>
      </c>
      <c r="N61" s="5">
        <f t="shared" si="9"/>
        <v>-0.1500000000000023</v>
      </c>
      <c r="O61" s="25">
        <v>-52.5</v>
      </c>
      <c r="P61" s="8">
        <f t="shared" si="6"/>
        <v>-1.3032253728412058</v>
      </c>
      <c r="R61" s="5">
        <f t="shared" si="7"/>
        <v>2.8999999999999977</v>
      </c>
      <c r="S61" s="25">
        <v>71.5</v>
      </c>
      <c r="T61" s="8">
        <f t="shared" si="2"/>
        <v>2.9886849627428935</v>
      </c>
    </row>
    <row r="62" spans="2:20" ht="20.399999999999999" customHeight="1" thickBot="1" x14ac:dyDescent="0.5">
      <c r="B62" s="5">
        <f t="shared" si="3"/>
        <v>2.9499999999999975</v>
      </c>
      <c r="C62" s="25">
        <v>72</v>
      </c>
      <c r="D62" s="8">
        <f t="shared" si="0"/>
        <v>3.0776835371752527</v>
      </c>
      <c r="F62" s="5">
        <f t="shared" si="8"/>
        <v>0.1000000000000023</v>
      </c>
      <c r="G62" s="25">
        <v>59</v>
      </c>
      <c r="H62" s="8">
        <f t="shared" si="4"/>
        <v>1.6642794823505183</v>
      </c>
      <c r="J62" s="5">
        <f t="shared" si="5"/>
        <v>-2.9499999999999975</v>
      </c>
      <c r="K62" s="25">
        <v>-57.5</v>
      </c>
      <c r="L62" s="8">
        <f t="shared" si="1"/>
        <v>-1.5696855771174902</v>
      </c>
      <c r="N62" s="5">
        <f t="shared" si="9"/>
        <v>-0.1000000000000023</v>
      </c>
      <c r="O62" s="25">
        <v>-52</v>
      </c>
      <c r="P62" s="8">
        <f t="shared" si="6"/>
        <v>-1.2799416321930788</v>
      </c>
      <c r="R62" s="5">
        <f t="shared" si="7"/>
        <v>2.9499999999999975</v>
      </c>
      <c r="S62" s="25">
        <v>71.7</v>
      </c>
      <c r="T62" s="8">
        <f t="shared" si="2"/>
        <v>3.0237206646151473</v>
      </c>
    </row>
    <row r="63" spans="2:20" ht="20.399999999999999" customHeight="1" thickBot="1" x14ac:dyDescent="0.5">
      <c r="B63" s="6">
        <f t="shared" si="3"/>
        <v>2.9999999999999973</v>
      </c>
      <c r="C63" s="25">
        <v>72</v>
      </c>
      <c r="D63" s="9">
        <f t="shared" si="0"/>
        <v>3.0776835371752527</v>
      </c>
      <c r="F63" s="5">
        <f t="shared" si="8"/>
        <v>5.0000000000002293E-2</v>
      </c>
      <c r="G63" s="25">
        <v>58.9</v>
      </c>
      <c r="H63" s="8">
        <f t="shared" si="4"/>
        <v>1.65771894425306</v>
      </c>
      <c r="J63" s="6">
        <f t="shared" si="5"/>
        <v>-2.9999999999999973</v>
      </c>
      <c r="K63" s="25">
        <v>-57.5</v>
      </c>
      <c r="L63" s="9">
        <f t="shared" si="1"/>
        <v>-1.5696855771174902</v>
      </c>
      <c r="N63" s="5">
        <f t="shared" si="9"/>
        <v>-5.0000000000002293E-2</v>
      </c>
      <c r="O63" s="25">
        <v>-50.5</v>
      </c>
      <c r="P63" s="8">
        <f t="shared" si="6"/>
        <v>-1.2130970040929328</v>
      </c>
      <c r="R63" s="6">
        <f t="shared" si="7"/>
        <v>2.9999999999999973</v>
      </c>
      <c r="S63" s="25">
        <v>71.8</v>
      </c>
      <c r="T63" s="9">
        <f t="shared" si="2"/>
        <v>3.0415172791109071</v>
      </c>
    </row>
    <row r="64" spans="2:20" ht="20.399999999999999" customHeight="1" thickTop="1" thickBot="1" x14ac:dyDescent="0.5">
      <c r="F64" s="10">
        <f t="shared" si="8"/>
        <v>2.2898349882893854E-15</v>
      </c>
      <c r="G64" s="26">
        <v>56.7</v>
      </c>
      <c r="H64" s="11">
        <f>TAN(RADIANS(G64))</f>
        <v>1.5223545068961313</v>
      </c>
      <c r="N64" s="10">
        <f t="shared" si="9"/>
        <v>-2.2898349882893854E-15</v>
      </c>
      <c r="O64" s="26">
        <v>-50</v>
      </c>
      <c r="P64" s="11">
        <f t="shared" si="6"/>
        <v>-1.19175359259421</v>
      </c>
    </row>
    <row r="65" ht="20.399999999999999" customHeight="1" thickTop="1" x14ac:dyDescent="0.45"/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zoomScale="130" zoomScaleNormal="130" workbookViewId="0">
      <selection activeCell="K13" sqref="K13"/>
    </sheetView>
  </sheetViews>
  <sheetFormatPr defaultRowHeight="16.75" x14ac:dyDescent="0.45"/>
  <cols>
    <col min="4" max="4" width="12.84375" customWidth="1"/>
  </cols>
  <sheetData>
    <row r="1" spans="1:8" x14ac:dyDescent="0.45">
      <c r="A1" s="28" t="s">
        <v>14</v>
      </c>
      <c r="B1" s="28"/>
      <c r="C1" s="28" t="s">
        <v>15</v>
      </c>
      <c r="D1" s="28"/>
      <c r="E1" s="28" t="s">
        <v>17</v>
      </c>
      <c r="F1" s="28"/>
      <c r="G1" s="28" t="s">
        <v>16</v>
      </c>
      <c r="H1" s="28"/>
    </row>
    <row r="2" spans="1:8" x14ac:dyDescent="0.45">
      <c r="A2" s="13" t="s">
        <v>0</v>
      </c>
      <c r="B2" s="13" t="s">
        <v>3</v>
      </c>
      <c r="C2" s="13" t="s">
        <v>0</v>
      </c>
      <c r="D2" s="13" t="s">
        <v>3</v>
      </c>
      <c r="E2" s="13" t="s">
        <v>0</v>
      </c>
      <c r="F2" s="13" t="s">
        <v>3</v>
      </c>
      <c r="G2" s="13" t="s">
        <v>0</v>
      </c>
      <c r="H2" s="13" t="s">
        <v>3</v>
      </c>
    </row>
    <row r="3" spans="1:8" x14ac:dyDescent="0.45">
      <c r="A3" s="29">
        <v>0</v>
      </c>
      <c r="B3" s="30">
        <v>1.52</v>
      </c>
      <c r="C3" s="15">
        <v>-0.4</v>
      </c>
      <c r="D3" s="16">
        <v>0.05</v>
      </c>
      <c r="E3" s="29">
        <v>0</v>
      </c>
      <c r="F3" s="30">
        <v>-1.19</v>
      </c>
      <c r="G3" s="17">
        <v>0.4</v>
      </c>
      <c r="H3" s="18">
        <v>-0.03</v>
      </c>
    </row>
    <row r="4" spans="1:8" x14ac:dyDescent="0.45">
      <c r="A4" s="29"/>
      <c r="B4" s="30"/>
      <c r="C4" s="15">
        <v>-0.45</v>
      </c>
      <c r="D4" s="16">
        <v>-0.23</v>
      </c>
      <c r="E4" s="29"/>
      <c r="F4" s="30"/>
      <c r="G4" s="17">
        <v>0.45</v>
      </c>
      <c r="H4" s="18">
        <v>0.1</v>
      </c>
    </row>
    <row r="5" spans="1:8" x14ac:dyDescent="0.45">
      <c r="A5" s="28" t="s">
        <v>8</v>
      </c>
      <c r="B5" s="28"/>
      <c r="C5" s="28"/>
      <c r="D5" s="28"/>
      <c r="E5" s="28"/>
      <c r="F5" s="28"/>
      <c r="G5" s="28"/>
      <c r="H5" s="28"/>
    </row>
    <row r="6" spans="1:8" x14ac:dyDescent="0.45">
      <c r="A6" s="33" t="s">
        <v>6</v>
      </c>
      <c r="B6" s="33"/>
      <c r="C6" s="32" t="s">
        <v>4</v>
      </c>
      <c r="D6" s="32"/>
      <c r="E6" s="14">
        <f>C3+(0-D3)*(C4-C3)/(D4-D3)</f>
        <v>-0.40892857142857147</v>
      </c>
      <c r="F6" s="31" t="s">
        <v>4</v>
      </c>
      <c r="G6" s="31"/>
      <c r="H6" s="14">
        <f>G3+(0-H3)*(G4-G3)/(H4-H3)</f>
        <v>0.41153846153846158</v>
      </c>
    </row>
    <row r="7" spans="1:8" x14ac:dyDescent="0.45">
      <c r="A7" s="33" t="s">
        <v>7</v>
      </c>
      <c r="B7" s="33"/>
      <c r="C7" s="32" t="s">
        <v>5</v>
      </c>
      <c r="D7" s="32"/>
      <c r="E7" s="14">
        <f>B3</f>
        <v>1.52</v>
      </c>
      <c r="F7" s="31" t="s">
        <v>5</v>
      </c>
      <c r="G7" s="31"/>
      <c r="H7" s="14">
        <f>F3</f>
        <v>-1.19</v>
      </c>
    </row>
  </sheetData>
  <mergeCells count="15">
    <mergeCell ref="A5:H5"/>
    <mergeCell ref="F6:G6"/>
    <mergeCell ref="F7:G7"/>
    <mergeCell ref="C6:D6"/>
    <mergeCell ref="C7:D7"/>
    <mergeCell ref="A6:B6"/>
    <mergeCell ref="A7:B7"/>
    <mergeCell ref="A1:B1"/>
    <mergeCell ref="C1:D1"/>
    <mergeCell ref="E1:F1"/>
    <mergeCell ref="G1:H1"/>
    <mergeCell ref="A3:A4"/>
    <mergeCell ref="B3:B4"/>
    <mergeCell ref="E3:E4"/>
    <mergeCell ref="F3:F4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82e661-fc7d-41f6-84d9-d381ae2eeb7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23B2DBBAF77F8440A911E5765A2CAC58" ma:contentTypeVersion="8" ma:contentTypeDescription="建立新的文件。" ma:contentTypeScope="" ma:versionID="235e89edef51a525cd13f604de70ef77">
  <xsd:schema xmlns:xsd="http://www.w3.org/2001/XMLSchema" xmlns:xs="http://www.w3.org/2001/XMLSchema" xmlns:p="http://schemas.microsoft.com/office/2006/metadata/properties" xmlns:ns3="7782e661-fc7d-41f6-84d9-d381ae2eeb79" xmlns:ns4="1ca6f76a-cc39-4cdd-9c13-e4ee2453842e" targetNamespace="http://schemas.microsoft.com/office/2006/metadata/properties" ma:root="true" ma:fieldsID="4def47a3f73ce085a54bba578e28514d" ns3:_="" ns4:_="">
    <xsd:import namespace="7782e661-fc7d-41f6-84d9-d381ae2eeb79"/>
    <xsd:import namespace="1ca6f76a-cc39-4cdd-9c13-e4ee245384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2e661-fc7d-41f6-84d9-d381ae2eeb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a6f76a-cc39-4cdd-9c13-e4ee245384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83A2D3-A028-4BC2-B1F6-74120BEA3A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2E1A56-2F0D-4860-AEF8-1AB793802B80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7782e661-fc7d-41f6-84d9-d381ae2eeb79"/>
    <ds:schemaRef ds:uri="http://purl.org/dc/elements/1.1/"/>
    <ds:schemaRef ds:uri="http://schemas.microsoft.com/office/2006/documentManagement/types"/>
    <ds:schemaRef ds:uri="1ca6f76a-cc39-4cdd-9c13-e4ee2453842e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2F46233-2692-47D4-AE80-6B673991E3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82e661-fc7d-41f6-84d9-d381ae2eeb79"/>
    <ds:schemaRef ds:uri="1ca6f76a-cc39-4cdd-9c13-e4ee245384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磁滯曲線實驗1</vt:lpstr>
      <vt:lpstr>磁滯曲線實驗2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楊善筑</dc:creator>
  <cp:lastModifiedBy>user</cp:lastModifiedBy>
  <dcterms:created xsi:type="dcterms:W3CDTF">2024-03-29T15:12:11Z</dcterms:created>
  <dcterms:modified xsi:type="dcterms:W3CDTF">2026-04-20T05:00:21Z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0x01010023B2DBBAF77F8440A911E5765A2CAC58</vt:lpwstr>
  </property>
</Properties>
</file>